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o/Desktop/KOL_Dashboard_1.1/"/>
    </mc:Choice>
  </mc:AlternateContent>
  <xr:revisionPtr revIDLastSave="0" documentId="13_ncr:1_{10DB0FEE-0BA1-ED40-B19A-AEA7E2C978C1}" xr6:coauthVersionLast="47" xr6:coauthVersionMax="47" xr10:uidLastSave="{00000000-0000-0000-0000-000000000000}"/>
  <bookViews>
    <workbookView xWindow="56280" yWindow="-3620" windowWidth="33300" windowHeight="26600" xr2:uid="{615E3041-C1BF-438A-BF13-F07BC5C7D944}"/>
  </bookViews>
  <sheets>
    <sheet name="contracts" sheetId="2" r:id="rId1"/>
    <sheet name="targets" sheetId="6" r:id="rId2"/>
    <sheet name="plans" sheetId="5" r:id="rId3"/>
    <sheet name="tracking" sheetId="4" r:id="rId4"/>
  </sheets>
  <externalReferences>
    <externalReference r:id="rId5"/>
  </externalReferences>
  <definedNames>
    <definedName name="_xlnm._FilterDatabase" localSheetId="0" hidden="1">contracts!$A$1:$N$106</definedName>
    <definedName name="_xlnm._FilterDatabase" localSheetId="3" hidden="1">tracking!$A$1:$I$138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2" i="2"/>
  <c r="J11" i="5" a="1"/>
  <c r="J11" i="5" s="1"/>
  <c r="I11" i="5"/>
  <c r="D11" i="5"/>
  <c r="C11" i="5"/>
  <c r="B11" i="5"/>
  <c r="J6" i="5" a="1"/>
  <c r="J6" i="5" s="1"/>
  <c r="J7" i="5" a="1"/>
  <c r="J7" i="5" s="1"/>
  <c r="J8" i="5" a="1"/>
  <c r="J8" i="5" s="1"/>
  <c r="J9" i="5" a="1"/>
  <c r="J9" i="5" s="1"/>
  <c r="J10" i="5" a="1"/>
  <c r="J10" i="5" s="1"/>
  <c r="J12" i="5" a="1"/>
  <c r="J12" i="5" s="1"/>
  <c r="J13" i="5" a="1"/>
  <c r="J13" i="5" s="1"/>
  <c r="J14" i="5" a="1"/>
  <c r="J14" i="5" s="1"/>
  <c r="J15" i="5" a="1"/>
  <c r="J15" i="5" s="1"/>
  <c r="J16" i="5" a="1"/>
  <c r="J16" i="5" s="1"/>
  <c r="J17" i="5" a="1"/>
  <c r="J17" i="5" s="1"/>
  <c r="J18" i="5" a="1"/>
  <c r="J18" i="5" s="1"/>
  <c r="J19" i="5" a="1"/>
  <c r="J19" i="5" s="1"/>
  <c r="J20" i="5" a="1"/>
  <c r="J20" i="5" s="1"/>
  <c r="J21" i="5" a="1"/>
  <c r="J21" i="5" s="1"/>
  <c r="J22" i="5" a="1"/>
  <c r="J22" i="5" s="1"/>
  <c r="J23" i="5" a="1"/>
  <c r="J23" i="5" s="1"/>
  <c r="J3" i="5" a="1"/>
  <c r="J3" i="5" s="1"/>
  <c r="J4" i="5" a="1"/>
  <c r="J4" i="5" s="1"/>
  <c r="J5" i="5" a="1"/>
  <c r="J5" i="5" s="1"/>
  <c r="J2" i="5" a="1"/>
  <c r="J2" i="5" s="1"/>
  <c r="I23" i="5"/>
  <c r="I22" i="5"/>
  <c r="I21" i="5"/>
  <c r="I20" i="5"/>
  <c r="I19" i="5"/>
  <c r="I18" i="5"/>
  <c r="I17" i="5"/>
  <c r="I16" i="5"/>
  <c r="I15" i="5"/>
  <c r="I14" i="5"/>
  <c r="I13" i="5"/>
  <c r="I12" i="5"/>
  <c r="I10" i="5"/>
  <c r="I9" i="5"/>
  <c r="I8" i="5"/>
  <c r="I7" i="5"/>
  <c r="I6" i="5"/>
  <c r="I5" i="5"/>
  <c r="I4" i="5"/>
  <c r="I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2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B5" i="5"/>
  <c r="D4" i="5"/>
  <c r="C4" i="5"/>
  <c r="B4" i="5"/>
  <c r="D3" i="5"/>
  <c r="C3" i="5"/>
  <c r="B3" i="5"/>
  <c r="D2" i="5"/>
  <c r="C2" i="5"/>
  <c r="B2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E120" i="4" a="1"/>
  <c r="E120" i="4" s="1"/>
  <c r="E138" i="4" a="1"/>
  <c r="E138" i="4" s="1"/>
  <c r="E81" i="4" a="1"/>
  <c r="E81" i="4" s="1"/>
  <c r="E29" i="4" a="1"/>
  <c r="E29" i="4" s="1"/>
  <c r="E23" i="4" a="1"/>
  <c r="E23" i="4" s="1"/>
  <c r="E16" i="4" a="1"/>
  <c r="E16" i="4" s="1"/>
  <c r="E28" i="4" a="1"/>
  <c r="E28" i="4" s="1"/>
  <c r="E22" i="4" a="1"/>
  <c r="E22" i="4" s="1"/>
  <c r="E19" i="4" a="1"/>
  <c r="E19" i="4" s="1"/>
  <c r="E15" i="4" a="1"/>
  <c r="E15" i="4" s="1"/>
  <c r="E62" i="4" a="1"/>
  <c r="E62" i="4" s="1"/>
  <c r="E38" i="4" a="1"/>
  <c r="E38" i="4" s="1"/>
  <c r="E105" i="4" a="1"/>
  <c r="E105" i="4" s="1"/>
  <c r="E104" i="4" a="1"/>
  <c r="E104" i="4" s="1"/>
  <c r="E89" i="4" a="1"/>
  <c r="E89" i="4" s="1"/>
  <c r="E127" i="4" a="1"/>
  <c r="E127" i="4" s="1"/>
  <c r="E103" i="4" a="1"/>
  <c r="E103" i="4" s="1"/>
  <c r="E41" i="4" a="1"/>
  <c r="E41" i="4" s="1"/>
  <c r="E37" i="4" a="1"/>
  <c r="E37" i="4" s="1"/>
  <c r="E7" i="4" a="1"/>
  <c r="E7" i="4" s="1"/>
  <c r="E137" i="4" a="1"/>
  <c r="E137" i="4" s="1"/>
  <c r="E136" i="4" a="1"/>
  <c r="E136" i="4" s="1"/>
  <c r="E126" i="4" a="1"/>
  <c r="E126" i="4" s="1"/>
  <c r="E94" i="4" a="1"/>
  <c r="E94" i="4" s="1"/>
  <c r="E61" i="4" a="1"/>
  <c r="E61" i="4" s="1"/>
  <c r="E113" i="4" a="1"/>
  <c r="E113" i="4" s="1"/>
  <c r="E135" i="4" a="1"/>
  <c r="E135" i="4" s="1"/>
  <c r="E102" i="4" a="1"/>
  <c r="E102" i="4" s="1"/>
  <c r="E86" i="4" a="1"/>
  <c r="E86" i="4" s="1"/>
  <c r="E80" i="4" a="1"/>
  <c r="E80" i="4" s="1"/>
  <c r="E76" i="4" a="1"/>
  <c r="E76" i="4" s="1"/>
  <c r="E69" i="4" a="1"/>
  <c r="E69" i="4" s="1"/>
  <c r="E112" i="4" a="1"/>
  <c r="E112" i="4" s="1"/>
  <c r="E75" i="4" a="1"/>
  <c r="E75" i="4" s="1"/>
  <c r="E68" i="4" a="1"/>
  <c r="E68" i="4" s="1"/>
  <c r="E134" i="4" a="1"/>
  <c r="E134" i="4" s="1"/>
  <c r="E91" i="4" a="1"/>
  <c r="E91" i="4" s="1"/>
  <c r="E74" i="4" a="1"/>
  <c r="E74" i="4" s="1"/>
  <c r="E40" i="4" a="1"/>
  <c r="E40" i="4" s="1"/>
  <c r="E39" i="4" a="1"/>
  <c r="E39" i="4" s="1"/>
  <c r="E36" i="4" a="1"/>
  <c r="E36" i="4" s="1"/>
  <c r="E27" i="4" a="1"/>
  <c r="E27" i="4" s="1"/>
  <c r="E110" i="4" a="1"/>
  <c r="E110" i="4" s="1"/>
  <c r="E73" i="4" a="1"/>
  <c r="E73" i="4" s="1"/>
  <c r="E67" i="4" a="1"/>
  <c r="E67" i="4" s="1"/>
  <c r="E21" i="4" a="1"/>
  <c r="E21" i="4" s="1"/>
  <c r="E18" i="4" a="1"/>
  <c r="E18" i="4" s="1"/>
  <c r="E96" i="4" a="1"/>
  <c r="E96" i="4" s="1"/>
  <c r="E90" i="4" a="1"/>
  <c r="E90" i="4" s="1"/>
  <c r="E79" i="4" a="1"/>
  <c r="E79" i="4" s="1"/>
  <c r="E66" i="4" a="1"/>
  <c r="E66" i="4" s="1"/>
  <c r="E60" i="4" a="1"/>
  <c r="E60" i="4" s="1"/>
  <c r="E6" i="4" a="1"/>
  <c r="E6" i="4" s="1"/>
  <c r="E95" i="4" a="1"/>
  <c r="E95" i="4" s="1"/>
  <c r="E65" i="4" a="1"/>
  <c r="E65" i="4" s="1"/>
  <c r="E59" i="4" a="1"/>
  <c r="E59" i="4" s="1"/>
  <c r="E55" i="4" a="1"/>
  <c r="E55" i="4" s="1"/>
  <c r="E54" i="4" a="1"/>
  <c r="E54" i="4" s="1"/>
  <c r="E101" i="4" a="1"/>
  <c r="E101" i="4" s="1"/>
  <c r="E88" i="4" a="1"/>
  <c r="E88" i="4" s="1"/>
  <c r="E35" i="4" a="1"/>
  <c r="E35" i="4" s="1"/>
  <c r="E109" i="4" a="1"/>
  <c r="E109" i="4" s="1"/>
  <c r="E78" i="4" a="1"/>
  <c r="E78" i="4" s="1"/>
  <c r="E53" i="4" a="1"/>
  <c r="E53" i="4" s="1"/>
  <c r="E108" i="4" a="1"/>
  <c r="E108" i="4" s="1"/>
  <c r="E72" i="4" a="1"/>
  <c r="E72" i="4" s="1"/>
  <c r="E5" i="4" a="1"/>
  <c r="E5" i="4" s="1"/>
  <c r="E133" i="4" a="1"/>
  <c r="E133" i="4" s="1"/>
  <c r="E125" i="4" a="1"/>
  <c r="E125" i="4" s="1"/>
  <c r="E119" i="4" a="1"/>
  <c r="E119" i="4" s="1"/>
  <c r="E111" i="4" a="1"/>
  <c r="E111" i="4" s="1"/>
  <c r="E100" i="4" a="1"/>
  <c r="E100" i="4" s="1"/>
  <c r="E52" i="4" a="1"/>
  <c r="E52" i="4" s="1"/>
  <c r="E132" i="4" a="1"/>
  <c r="E132" i="4" s="1"/>
  <c r="E124" i="4" a="1"/>
  <c r="E124" i="4" s="1"/>
  <c r="E118" i="4" a="1"/>
  <c r="E118" i="4" s="1"/>
  <c r="E99" i="4" a="1"/>
  <c r="E99" i="4" s="1"/>
  <c r="E77" i="4" a="1"/>
  <c r="E77" i="4" s="1"/>
  <c r="E51" i="4" a="1"/>
  <c r="E51" i="4" s="1"/>
  <c r="E34" i="4" a="1"/>
  <c r="E34" i="4" s="1"/>
  <c r="E85" i="4" a="1"/>
  <c r="E85" i="4" s="1"/>
  <c r="E14" i="4" a="1"/>
  <c r="E14" i="4" s="1"/>
  <c r="E107" i="4" a="1"/>
  <c r="E107" i="4" s="1"/>
  <c r="E71" i="4" a="1"/>
  <c r="E71" i="4" s="1"/>
  <c r="E64" i="4" a="1"/>
  <c r="E64" i="4" s="1"/>
  <c r="E47" i="4" a="1"/>
  <c r="E47" i="4" s="1"/>
  <c r="E58" i="4" a="1"/>
  <c r="E58" i="4" s="1"/>
  <c r="E50" i="4" a="1"/>
  <c r="E50" i="4" s="1"/>
  <c r="E106" i="4" a="1"/>
  <c r="E106" i="4" s="1"/>
  <c r="E98" i="4" a="1"/>
  <c r="E98" i="4" s="1"/>
  <c r="E84" i="4" a="1"/>
  <c r="E84" i="4" s="1"/>
  <c r="E70" i="4" a="1"/>
  <c r="E70" i="4" s="1"/>
  <c r="E63" i="4" a="1"/>
  <c r="E63" i="4" s="1"/>
  <c r="E57" i="4" a="1"/>
  <c r="E57" i="4" s="1"/>
  <c r="E49" i="4" a="1"/>
  <c r="E49" i="4" s="1"/>
  <c r="E26" i="4" a="1"/>
  <c r="E26" i="4" s="1"/>
  <c r="E4" i="4" a="1"/>
  <c r="E4" i="4" s="1"/>
  <c r="E46" i="4" a="1"/>
  <c r="E46" i="4" s="1"/>
  <c r="E43" i="4" a="1"/>
  <c r="E43" i="4" s="1"/>
  <c r="E33" i="4" a="1"/>
  <c r="E33" i="4" s="1"/>
  <c r="E131" i="4" a="1"/>
  <c r="E131" i="4" s="1"/>
  <c r="E117" i="4" a="1"/>
  <c r="E117" i="4" s="1"/>
  <c r="E97" i="4" a="1"/>
  <c r="E97" i="4" s="1"/>
  <c r="E45" i="4" a="1"/>
  <c r="E45" i="4" s="1"/>
  <c r="E42" i="4" a="1"/>
  <c r="E42" i="4" s="1"/>
  <c r="E13" i="4" a="1"/>
  <c r="E13" i="4" s="1"/>
  <c r="E11" i="4" a="1"/>
  <c r="E11" i="4" s="1"/>
  <c r="E3" i="4" a="1"/>
  <c r="E3" i="4" s="1"/>
  <c r="E44" i="4" a="1"/>
  <c r="E44" i="4" s="1"/>
  <c r="E32" i="4" a="1"/>
  <c r="E32" i="4" s="1"/>
  <c r="E31" i="4" a="1"/>
  <c r="E31" i="4" s="1"/>
  <c r="E10" i="4" a="1"/>
  <c r="E10" i="4" s="1"/>
  <c r="E130" i="4" a="1"/>
  <c r="E130" i="4" s="1"/>
  <c r="E123" i="4" a="1"/>
  <c r="E123" i="4" s="1"/>
  <c r="E116" i="4" a="1"/>
  <c r="E116" i="4" s="1"/>
  <c r="E129" i="4" a="1"/>
  <c r="E129" i="4" s="1"/>
  <c r="E122" i="4" a="1"/>
  <c r="E122" i="4" s="1"/>
  <c r="E115" i="4" a="1"/>
  <c r="E115" i="4" s="1"/>
  <c r="E93" i="4" a="1"/>
  <c r="E93" i="4" s="1"/>
  <c r="E12" i="4" a="1"/>
  <c r="E12" i="4" s="1"/>
  <c r="E128" i="4" a="1"/>
  <c r="E128" i="4" s="1"/>
  <c r="E121" i="4" a="1"/>
  <c r="E121" i="4" s="1"/>
  <c r="E114" i="4" a="1"/>
  <c r="E114" i="4" s="1"/>
  <c r="E92" i="4" a="1"/>
  <c r="E92" i="4" s="1"/>
  <c r="E25" i="4" a="1"/>
  <c r="E25" i="4" s="1"/>
  <c r="E9" i="4" a="1"/>
  <c r="E9" i="4" s="1"/>
  <c r="E83" i="4" a="1"/>
  <c r="E83" i="4" s="1"/>
  <c r="E30" i="4" a="1"/>
  <c r="E30" i="4" s="1"/>
  <c r="E24" i="4" a="1"/>
  <c r="E24" i="4" s="1"/>
  <c r="E8" i="4" a="1"/>
  <c r="E8" i="4" s="1"/>
  <c r="E2" i="4" a="1"/>
  <c r="E2" i="4" s="1"/>
  <c r="E56" i="4" a="1"/>
  <c r="E56" i="4" s="1"/>
  <c r="E87" i="4" a="1"/>
  <c r="E87" i="4" s="1"/>
  <c r="E82" i="4" a="1"/>
  <c r="E82" i="4" s="1"/>
  <c r="E48" i="4" a="1"/>
  <c r="E48" i="4" s="1"/>
  <c r="E20" i="4" a="1"/>
  <c r="E20" i="4" s="1"/>
  <c r="E17" i="4" a="1"/>
  <c r="E17" i="4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2" i="2" a="1"/>
  <c r="L2" i="2" s="1"/>
  <c r="D120" i="4"/>
  <c r="C120" i="4"/>
  <c r="B120" i="4"/>
  <c r="D138" i="4"/>
  <c r="C138" i="4"/>
  <c r="B138" i="4"/>
  <c r="D81" i="4"/>
  <c r="C81" i="4"/>
  <c r="B81" i="4"/>
  <c r="D29" i="4"/>
  <c r="C29" i="4"/>
  <c r="B29" i="4"/>
  <c r="D23" i="4"/>
  <c r="C23" i="4"/>
  <c r="B23" i="4"/>
  <c r="D16" i="4"/>
  <c r="C16" i="4"/>
  <c r="B16" i="4"/>
  <c r="D28" i="4"/>
  <c r="C28" i="4"/>
  <c r="B28" i="4"/>
  <c r="D22" i="4"/>
  <c r="C22" i="4"/>
  <c r="B22" i="4"/>
  <c r="D19" i="4"/>
  <c r="C19" i="4"/>
  <c r="B19" i="4"/>
  <c r="D15" i="4"/>
  <c r="C15" i="4"/>
  <c r="B15" i="4"/>
  <c r="D62" i="4"/>
  <c r="C62" i="4"/>
  <c r="B62" i="4"/>
  <c r="D38" i="4"/>
  <c r="C38" i="4"/>
  <c r="B38" i="4"/>
  <c r="D105" i="4"/>
  <c r="C105" i="4"/>
  <c r="B105" i="4"/>
  <c r="D104" i="4"/>
  <c r="C104" i="4"/>
  <c r="B104" i="4"/>
  <c r="D89" i="4"/>
  <c r="C89" i="4"/>
  <c r="B89" i="4"/>
  <c r="D127" i="4"/>
  <c r="C127" i="4"/>
  <c r="B127" i="4"/>
  <c r="D103" i="4"/>
  <c r="C103" i="4"/>
  <c r="B103" i="4"/>
  <c r="D41" i="4"/>
  <c r="C41" i="4"/>
  <c r="B41" i="4"/>
  <c r="D37" i="4"/>
  <c r="C37" i="4"/>
  <c r="B37" i="4"/>
  <c r="D7" i="4"/>
  <c r="C7" i="4"/>
  <c r="B7" i="4"/>
  <c r="D137" i="4"/>
  <c r="C137" i="4"/>
  <c r="B137" i="4"/>
  <c r="D136" i="4"/>
  <c r="C136" i="4"/>
  <c r="B136" i="4"/>
  <c r="D126" i="4"/>
  <c r="C126" i="4"/>
  <c r="B126" i="4"/>
  <c r="D94" i="4"/>
  <c r="C94" i="4"/>
  <c r="B94" i="4"/>
  <c r="D61" i="4"/>
  <c r="C61" i="4"/>
  <c r="B61" i="4"/>
  <c r="D113" i="4"/>
  <c r="C113" i="4"/>
  <c r="B113" i="4"/>
  <c r="D135" i="4"/>
  <c r="C135" i="4"/>
  <c r="B135" i="4"/>
  <c r="D102" i="4"/>
  <c r="C102" i="4"/>
  <c r="B102" i="4"/>
  <c r="D86" i="4"/>
  <c r="C86" i="4"/>
  <c r="B86" i="4"/>
  <c r="D80" i="4"/>
  <c r="C80" i="4"/>
  <c r="B80" i="4"/>
  <c r="D76" i="4"/>
  <c r="C76" i="4"/>
  <c r="B76" i="4"/>
  <c r="D69" i="4"/>
  <c r="C69" i="4"/>
  <c r="B69" i="4"/>
  <c r="D112" i="4"/>
  <c r="C112" i="4"/>
  <c r="B112" i="4"/>
  <c r="D75" i="4"/>
  <c r="C75" i="4"/>
  <c r="B75" i="4"/>
  <c r="D68" i="4"/>
  <c r="C68" i="4"/>
  <c r="B68" i="4"/>
  <c r="D134" i="4"/>
  <c r="C134" i="4"/>
  <c r="B134" i="4"/>
  <c r="D91" i="4"/>
  <c r="C91" i="4"/>
  <c r="B91" i="4"/>
  <c r="D74" i="4"/>
  <c r="C74" i="4"/>
  <c r="B74" i="4"/>
  <c r="D40" i="4"/>
  <c r="C40" i="4"/>
  <c r="B40" i="4"/>
  <c r="D39" i="4"/>
  <c r="C39" i="4"/>
  <c r="B39" i="4"/>
  <c r="D36" i="4"/>
  <c r="C36" i="4"/>
  <c r="B36" i="4"/>
  <c r="D27" i="4"/>
  <c r="C27" i="4"/>
  <c r="B27" i="4"/>
  <c r="D110" i="4"/>
  <c r="C110" i="4"/>
  <c r="B110" i="4"/>
  <c r="D73" i="4"/>
  <c r="C73" i="4"/>
  <c r="B73" i="4"/>
  <c r="D67" i="4"/>
  <c r="C67" i="4"/>
  <c r="B67" i="4"/>
  <c r="D21" i="4"/>
  <c r="C21" i="4"/>
  <c r="B21" i="4"/>
  <c r="D18" i="4"/>
  <c r="C18" i="4"/>
  <c r="B18" i="4"/>
  <c r="D96" i="4"/>
  <c r="C96" i="4"/>
  <c r="B96" i="4"/>
  <c r="D90" i="4"/>
  <c r="C90" i="4"/>
  <c r="B90" i="4"/>
  <c r="D79" i="4"/>
  <c r="C79" i="4"/>
  <c r="B79" i="4"/>
  <c r="D66" i="4"/>
  <c r="C66" i="4"/>
  <c r="B66" i="4"/>
  <c r="D60" i="4"/>
  <c r="C60" i="4"/>
  <c r="B60" i="4"/>
  <c r="D6" i="4"/>
  <c r="C6" i="4"/>
  <c r="B6" i="4"/>
  <c r="D95" i="4"/>
  <c r="C95" i="4"/>
  <c r="B95" i="4"/>
  <c r="D65" i="4"/>
  <c r="C65" i="4"/>
  <c r="B65" i="4"/>
  <c r="D59" i="4"/>
  <c r="C59" i="4"/>
  <c r="B59" i="4"/>
  <c r="D55" i="4"/>
  <c r="C55" i="4"/>
  <c r="B55" i="4"/>
  <c r="D54" i="4"/>
  <c r="C54" i="4"/>
  <c r="B54" i="4"/>
  <c r="D101" i="4"/>
  <c r="C101" i="4"/>
  <c r="B101" i="4"/>
  <c r="D88" i="4"/>
  <c r="C88" i="4"/>
  <c r="B88" i="4"/>
  <c r="D35" i="4"/>
  <c r="C35" i="4"/>
  <c r="B35" i="4"/>
  <c r="D109" i="4"/>
  <c r="C109" i="4"/>
  <c r="B109" i="4"/>
  <c r="D78" i="4"/>
  <c r="C78" i="4"/>
  <c r="B78" i="4"/>
  <c r="D53" i="4"/>
  <c r="C53" i="4"/>
  <c r="B53" i="4"/>
  <c r="D108" i="4"/>
  <c r="C108" i="4"/>
  <c r="B108" i="4"/>
  <c r="D72" i="4"/>
  <c r="C72" i="4"/>
  <c r="B72" i="4"/>
  <c r="D5" i="4"/>
  <c r="C5" i="4"/>
  <c r="B5" i="4"/>
  <c r="D133" i="4"/>
  <c r="C133" i="4"/>
  <c r="B133" i="4"/>
  <c r="D125" i="4"/>
  <c r="C125" i="4"/>
  <c r="B125" i="4"/>
  <c r="D119" i="4"/>
  <c r="C119" i="4"/>
  <c r="B119" i="4"/>
  <c r="D111" i="4"/>
  <c r="C111" i="4"/>
  <c r="B111" i="4"/>
  <c r="D100" i="4"/>
  <c r="C100" i="4"/>
  <c r="B100" i="4"/>
  <c r="D52" i="4"/>
  <c r="C52" i="4"/>
  <c r="B52" i="4"/>
  <c r="D132" i="4"/>
  <c r="C132" i="4"/>
  <c r="B132" i="4"/>
  <c r="D124" i="4"/>
  <c r="C124" i="4"/>
  <c r="B124" i="4"/>
  <c r="D118" i="4"/>
  <c r="C118" i="4"/>
  <c r="B118" i="4"/>
  <c r="D99" i="4"/>
  <c r="C99" i="4"/>
  <c r="B99" i="4"/>
  <c r="D77" i="4"/>
  <c r="C77" i="4"/>
  <c r="B77" i="4"/>
  <c r="D51" i="4"/>
  <c r="C51" i="4"/>
  <c r="B51" i="4"/>
  <c r="D34" i="4"/>
  <c r="C34" i="4"/>
  <c r="B34" i="4"/>
  <c r="D85" i="4"/>
  <c r="C85" i="4"/>
  <c r="B85" i="4"/>
  <c r="D14" i="4"/>
  <c r="C14" i="4"/>
  <c r="B14" i="4"/>
  <c r="D107" i="4"/>
  <c r="C107" i="4"/>
  <c r="B107" i="4"/>
  <c r="D71" i="4"/>
  <c r="C71" i="4"/>
  <c r="B71" i="4"/>
  <c r="D64" i="4"/>
  <c r="C64" i="4"/>
  <c r="B64" i="4"/>
  <c r="D47" i="4"/>
  <c r="C47" i="4"/>
  <c r="B47" i="4"/>
  <c r="D58" i="4"/>
  <c r="C58" i="4"/>
  <c r="B58" i="4"/>
  <c r="D50" i="4"/>
  <c r="C50" i="4"/>
  <c r="B50" i="4"/>
  <c r="D106" i="4"/>
  <c r="C106" i="4"/>
  <c r="B106" i="4"/>
  <c r="D98" i="4"/>
  <c r="C98" i="4"/>
  <c r="B98" i="4"/>
  <c r="D84" i="4"/>
  <c r="C84" i="4"/>
  <c r="B84" i="4"/>
  <c r="D70" i="4"/>
  <c r="C70" i="4"/>
  <c r="B70" i="4"/>
  <c r="D63" i="4"/>
  <c r="C63" i="4"/>
  <c r="B63" i="4"/>
  <c r="D57" i="4"/>
  <c r="C57" i="4"/>
  <c r="B57" i="4"/>
  <c r="D49" i="4"/>
  <c r="C49" i="4"/>
  <c r="B49" i="4"/>
  <c r="D26" i="4"/>
  <c r="C26" i="4"/>
  <c r="B26" i="4"/>
  <c r="D4" i="4"/>
  <c r="C4" i="4"/>
  <c r="B4" i="4"/>
  <c r="D46" i="4"/>
  <c r="C46" i="4"/>
  <c r="B46" i="4"/>
  <c r="D43" i="4"/>
  <c r="C43" i="4"/>
  <c r="B43" i="4"/>
  <c r="D33" i="4"/>
  <c r="C33" i="4"/>
  <c r="B33" i="4"/>
  <c r="D131" i="4"/>
  <c r="C131" i="4"/>
  <c r="B131" i="4"/>
  <c r="D117" i="4"/>
  <c r="C117" i="4"/>
  <c r="B117" i="4"/>
  <c r="D97" i="4"/>
  <c r="C97" i="4"/>
  <c r="B97" i="4"/>
  <c r="D45" i="4"/>
  <c r="C45" i="4"/>
  <c r="B45" i="4"/>
  <c r="D42" i="4"/>
  <c r="C42" i="4"/>
  <c r="B42" i="4"/>
  <c r="D13" i="4"/>
  <c r="C13" i="4"/>
  <c r="B13" i="4"/>
  <c r="D11" i="4"/>
  <c r="C11" i="4"/>
  <c r="B11" i="4"/>
  <c r="D3" i="4"/>
  <c r="C3" i="4"/>
  <c r="B3" i="4"/>
  <c r="D44" i="4"/>
  <c r="C44" i="4"/>
  <c r="B44" i="4"/>
  <c r="D32" i="4"/>
  <c r="C32" i="4"/>
  <c r="B32" i="4"/>
  <c r="D31" i="4"/>
  <c r="C31" i="4"/>
  <c r="B31" i="4"/>
  <c r="D10" i="4"/>
  <c r="C10" i="4"/>
  <c r="B10" i="4"/>
  <c r="D130" i="4"/>
  <c r="C130" i="4"/>
  <c r="B130" i="4"/>
  <c r="D123" i="4"/>
  <c r="C123" i="4"/>
  <c r="B123" i="4"/>
  <c r="D116" i="4"/>
  <c r="C116" i="4"/>
  <c r="B116" i="4"/>
  <c r="D129" i="4"/>
  <c r="C129" i="4"/>
  <c r="B129" i="4"/>
  <c r="D122" i="4"/>
  <c r="C122" i="4"/>
  <c r="B122" i="4"/>
  <c r="D115" i="4"/>
  <c r="C115" i="4"/>
  <c r="B115" i="4"/>
  <c r="D93" i="4"/>
  <c r="C93" i="4"/>
  <c r="B93" i="4"/>
  <c r="D12" i="4"/>
  <c r="C12" i="4"/>
  <c r="B12" i="4"/>
  <c r="D128" i="4"/>
  <c r="C128" i="4"/>
  <c r="B128" i="4"/>
  <c r="D121" i="4"/>
  <c r="C121" i="4"/>
  <c r="B121" i="4"/>
  <c r="D114" i="4"/>
  <c r="C114" i="4"/>
  <c r="B114" i="4"/>
  <c r="D92" i="4"/>
  <c r="C92" i="4"/>
  <c r="B92" i="4"/>
  <c r="D25" i="4"/>
  <c r="C25" i="4"/>
  <c r="B25" i="4"/>
  <c r="D9" i="4"/>
  <c r="C9" i="4"/>
  <c r="B9" i="4"/>
  <c r="D83" i="4"/>
  <c r="C83" i="4"/>
  <c r="B83" i="4"/>
  <c r="D30" i="4"/>
  <c r="C30" i="4"/>
  <c r="B30" i="4"/>
  <c r="D24" i="4"/>
  <c r="C24" i="4"/>
  <c r="B24" i="4"/>
  <c r="D8" i="4"/>
  <c r="C8" i="4"/>
  <c r="B8" i="4"/>
  <c r="D2" i="4"/>
  <c r="C2" i="4"/>
  <c r="B2" i="4"/>
  <c r="D56" i="4"/>
  <c r="C56" i="4"/>
  <c r="B56" i="4"/>
  <c r="D87" i="4"/>
  <c r="C87" i="4"/>
  <c r="B87" i="4"/>
  <c r="D82" i="4"/>
  <c r="C82" i="4"/>
  <c r="B82" i="4"/>
  <c r="D48" i="4"/>
  <c r="C48" i="4"/>
  <c r="B48" i="4"/>
  <c r="D20" i="4"/>
  <c r="C20" i="4"/>
  <c r="B20" i="4"/>
  <c r="D17" i="4"/>
  <c r="C17" i="4"/>
  <c r="B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<sst xmlns="http://schemas.openxmlformats.org/spreadsheetml/2006/main" count="1269" uniqueCount="158">
  <si>
    <t>KOL_ID</t>
  </si>
  <si>
    <t>Name</t>
  </si>
  <si>
    <t>Area</t>
  </si>
  <si>
    <t>Country</t>
  </si>
  <si>
    <t>Contract Value(USD)</t>
  </si>
  <si>
    <t>Contract Start</t>
  </si>
  <si>
    <t>Contract End</t>
  </si>
  <si>
    <t>Dr. Robert Jung</t>
  </si>
  <si>
    <t>Europe</t>
  </si>
  <si>
    <t>UK</t>
  </si>
  <si>
    <t>Dr. Filip Rebelo</t>
  </si>
  <si>
    <t>Sweden</t>
  </si>
  <si>
    <t>Dr. Alexandre Richard</t>
  </si>
  <si>
    <t>France</t>
  </si>
  <si>
    <t>Dr. Gary Finelle</t>
  </si>
  <si>
    <t>Dr. Pierre Leclercq</t>
  </si>
  <si>
    <t>Dr. Emmanuel Bocquet</t>
  </si>
  <si>
    <t>Dr. Oguz Emeklibas</t>
  </si>
  <si>
    <t>Germany</t>
  </si>
  <si>
    <t>Dr. Frank Maier</t>
  </si>
  <si>
    <t>Dr. Simon Priess</t>
  </si>
  <si>
    <t>Dr. Justinas Pletkus</t>
  </si>
  <si>
    <t>Lithuania</t>
  </si>
  <si>
    <t>TBD By dylam</t>
  </si>
  <si>
    <t>Dr. Gabriel Musetescu</t>
  </si>
  <si>
    <t>Romania</t>
  </si>
  <si>
    <t>Dr. Michalis Diomataris</t>
  </si>
  <si>
    <t>Greece</t>
  </si>
  <si>
    <t>Dr. Grzegorz Wasiluk</t>
  </si>
  <si>
    <t>Poland</t>
  </si>
  <si>
    <t>Dr. Łukasz Zadrożny</t>
  </si>
  <si>
    <t>Dr. Anton Sadovnyshyi</t>
  </si>
  <si>
    <t>Ukraine</t>
  </si>
  <si>
    <t>Dr. Yevhenii Sluchevskyi</t>
  </si>
  <si>
    <t>Dr. Veiko Vengerfeldt</t>
  </si>
  <si>
    <t>Estonia</t>
  </si>
  <si>
    <t>Dr. Marco Tallarico</t>
  </si>
  <si>
    <t>Italy</t>
  </si>
  <si>
    <t>Clinical case report</t>
  </si>
  <si>
    <t>Dr. Antonino Cacioppo</t>
  </si>
  <si>
    <t>Dr. Janghyun Paek</t>
  </si>
  <si>
    <t>APAC</t>
  </si>
  <si>
    <t>Korea</t>
  </si>
  <si>
    <t>Dr. Sapaar Bayarmagnai</t>
  </si>
  <si>
    <t>Mongolia</t>
  </si>
  <si>
    <t>Dr. Swapnil Pande</t>
  </si>
  <si>
    <t>India</t>
  </si>
  <si>
    <t>Dr. Priyam Aditya</t>
  </si>
  <si>
    <t>Dr. Ahmad Al Hassiny</t>
  </si>
  <si>
    <t>New Zealand</t>
  </si>
  <si>
    <t>Dr. Manapat Thaveeprungsiporn</t>
  </si>
  <si>
    <t>Thailand</t>
  </si>
  <si>
    <t>Dr. Sameh Shaaban</t>
  </si>
  <si>
    <t>MEA</t>
  </si>
  <si>
    <t>Egypt</t>
  </si>
  <si>
    <t>Dr. Amr Elkhadem</t>
  </si>
  <si>
    <t>Dr. Mohamed Elashry</t>
  </si>
  <si>
    <t>Activity</t>
  </si>
  <si>
    <t>offline lecture</t>
  </si>
  <si>
    <t>Article case</t>
  </si>
  <si>
    <t>Webinar</t>
  </si>
  <si>
    <t>ADF Lecture</t>
  </si>
  <si>
    <t>social activities</t>
  </si>
  <si>
    <t>R&amp;D Feedback</t>
  </si>
  <si>
    <t>Case</t>
  </si>
  <si>
    <t>Contents creation</t>
  </si>
  <si>
    <t>Academy lectures</t>
  </si>
  <si>
    <t>Cases</t>
  </si>
  <si>
    <t>ADF speaker</t>
  </si>
  <si>
    <t>Social engagement</t>
  </si>
  <si>
    <t>Lecture</t>
  </si>
  <si>
    <t>Social Media</t>
  </si>
  <si>
    <t>Hands-on course</t>
  </si>
  <si>
    <t>Lectures at Conference</t>
  </si>
  <si>
    <t>Article</t>
  </si>
  <si>
    <t>Academic content creation</t>
  </si>
  <si>
    <t>Lectures</t>
  </si>
  <si>
    <t>T-series case report</t>
  </si>
  <si>
    <t>lecture</t>
  </si>
  <si>
    <t>Hands on training</t>
  </si>
  <si>
    <t>Training at clinic</t>
  </si>
  <si>
    <t>event lecture</t>
  </si>
  <si>
    <t>Product Review Project (i900c, i900m)</t>
  </si>
  <si>
    <t>R&amp;D report</t>
  </si>
  <si>
    <t>University activities</t>
  </si>
  <si>
    <t>Task</t>
    <phoneticPr fontId="18" type="noConversion"/>
  </si>
  <si>
    <t>Case Report</t>
  </si>
  <si>
    <t>SNS Posting</t>
  </si>
  <si>
    <t>(Other)</t>
  </si>
  <si>
    <t>Academy</t>
  </si>
  <si>
    <t>Testimonial</t>
  </si>
  <si>
    <t>Quarter</t>
  </si>
  <si>
    <t>Month</t>
  </si>
  <si>
    <t>Week</t>
  </si>
  <si>
    <t>2w</t>
  </si>
  <si>
    <t>3w</t>
  </si>
  <si>
    <t>Feb</t>
  </si>
  <si>
    <t>Mar</t>
  </si>
  <si>
    <t>1w</t>
  </si>
  <si>
    <t>Contract</t>
  </si>
  <si>
    <t>4w</t>
  </si>
  <si>
    <t>April</t>
  </si>
  <si>
    <t>case report</t>
  </si>
  <si>
    <t>i900 shipment</t>
  </si>
  <si>
    <t>i900c shipment</t>
  </si>
  <si>
    <t>Dr. Mohamed elashry</t>
  </si>
  <si>
    <t>5w</t>
  </si>
  <si>
    <t>May</t>
  </si>
  <si>
    <t>Clinical Paper</t>
  </si>
  <si>
    <t>June</t>
  </si>
  <si>
    <t>July</t>
  </si>
  <si>
    <t>MOS Test</t>
  </si>
  <si>
    <t>i900MTest</t>
  </si>
  <si>
    <t>August</t>
  </si>
  <si>
    <t>Dr. Sardor Mirakhmedov</t>
  </si>
  <si>
    <t>September</t>
  </si>
  <si>
    <t>T710 shipment</t>
  </si>
  <si>
    <t>ContentsCreation</t>
  </si>
  <si>
    <t>Auraview Test</t>
  </si>
  <si>
    <t>i900M shipment</t>
  </si>
  <si>
    <t>Dr. Kenneth Lee</t>
  </si>
  <si>
    <t>October</t>
  </si>
  <si>
    <t>Dr. Derek Mahonny</t>
  </si>
  <si>
    <t>Dr. Arass Jalal Noori</t>
  </si>
  <si>
    <t>Dr. Rekar Ismail</t>
  </si>
  <si>
    <t>November</t>
  </si>
  <si>
    <t>December</t>
  </si>
  <si>
    <t>Uzbekistan</t>
    <phoneticPr fontId="18" type="noConversion"/>
  </si>
  <si>
    <t>APAC</t>
    <phoneticPr fontId="18" type="noConversion"/>
  </si>
  <si>
    <t>R&amp;D Feedback</t>
    <phoneticPr fontId="18" type="noConversion"/>
  </si>
  <si>
    <t>Case</t>
    <phoneticPr fontId="18" type="noConversion"/>
  </si>
  <si>
    <t>Contents creation</t>
    <phoneticPr fontId="18" type="noConversion"/>
  </si>
  <si>
    <t>Academy lectures</t>
    <phoneticPr fontId="18" type="noConversion"/>
  </si>
  <si>
    <t>Frequency</t>
    <phoneticPr fontId="18" type="noConversion"/>
  </si>
  <si>
    <t>Times</t>
    <phoneticPr fontId="18" type="noConversion"/>
  </si>
  <si>
    <t>per quarter</t>
  </si>
  <si>
    <t>per year</t>
  </si>
  <si>
    <t>bimonth</t>
  </si>
  <si>
    <t>every month</t>
  </si>
  <si>
    <t>biyear</t>
  </si>
  <si>
    <t>per year</t>
    <phoneticPr fontId="18" type="noConversion"/>
  </si>
  <si>
    <t>Count</t>
    <phoneticPr fontId="18" type="noConversion"/>
  </si>
  <si>
    <t>KOL</t>
  </si>
  <si>
    <t>Planned Date</t>
  </si>
  <si>
    <t>Notes</t>
  </si>
  <si>
    <t>Days Until (D-)</t>
  </si>
  <si>
    <t>Planned</t>
  </si>
  <si>
    <t>Vanest Launching Show</t>
  </si>
  <si>
    <t>Hands-on</t>
  </si>
  <si>
    <t>ADF 2025</t>
  </si>
  <si>
    <t>In Contract</t>
    <phoneticPr fontId="18" type="noConversion"/>
  </si>
  <si>
    <t>Status(Planned/Reminded/Done)</t>
    <phoneticPr fontId="18" type="noConversion"/>
  </si>
  <si>
    <t>Lecture</t>
    <phoneticPr fontId="18" type="noConversion"/>
  </si>
  <si>
    <t>Admin</t>
    <phoneticPr fontId="18" type="noConversion"/>
  </si>
  <si>
    <t>Days Left</t>
    <phoneticPr fontId="18" type="noConversion"/>
  </si>
  <si>
    <t>Lat</t>
    <phoneticPr fontId="18" type="noConversion"/>
  </si>
  <si>
    <t>Lon</t>
    <phoneticPr fontId="18" type="noConversion"/>
  </si>
  <si>
    <t>Dr. Ahmad Al-Hassiny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</si>
</sst>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맑은 고딕"/>
      <family val="2"/>
      <scheme val="minor"/>
    </font>
    <font>
      <sz val="11"/>
      <color rgb="FF1B1C1D"/>
      <name val="Arial"/>
      <family val="2"/>
      <charset val="129"/>
    </font>
    <font>
      <sz val="11"/>
      <color theme="1"/>
      <name val="Arial"/>
      <family val="2"/>
    </font>
    <font>
      <b/>
      <sz val="11"/>
      <color theme="1"/>
      <name val="맑은 고딕 (본문)"/>
      <family val="3"/>
      <charset val="129"/>
    </font>
    <font>
      <sz val="11"/>
      <color theme="1"/>
      <name val="맑은 고딕 (본문)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3" fillId="0" borderId="0"/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3" fillId="0" borderId="0" xfId="42"/>
    <xf numFmtId="0" fontId="23" fillId="0" borderId="10" xfId="42" applyBorder="1"/>
    <xf numFmtId="0" fontId="23" fillId="0" borderId="0" xfId="42" applyAlignment="1">
      <alignment horizontal="center"/>
    </xf>
    <xf numFmtId="0" fontId="20" fillId="0" borderId="11" xfId="0" applyFont="1" applyBorder="1" applyAlignment="1">
      <alignment horizontal="center" vertical="center" readingOrder="1"/>
    </xf>
    <xf numFmtId="0" fontId="19" fillId="0" borderId="12" xfId="0" applyFont="1" applyBorder="1" applyAlignment="1">
      <alignment vertical="center" readingOrder="1"/>
    </xf>
    <xf numFmtId="0" fontId="19" fillId="0" borderId="12" xfId="0" applyFont="1" applyBorder="1" applyAlignment="1">
      <alignment horizontal="left" vertical="center" readingOrder="1"/>
    </xf>
    <xf numFmtId="14" fontId="19" fillId="0" borderId="12" xfId="0" applyNumberFormat="1" applyFont="1" applyBorder="1" applyAlignment="1">
      <alignment horizontal="left" vertical="center" readingOrder="1"/>
    </xf>
    <xf numFmtId="0" fontId="19" fillId="0" borderId="13" xfId="0" applyFont="1" applyBorder="1" applyAlignment="1">
      <alignment vertical="center" readingOrder="1"/>
    </xf>
    <xf numFmtId="0" fontId="19" fillId="0" borderId="13" xfId="0" applyFont="1" applyBorder="1" applyAlignment="1">
      <alignment horizontal="left" vertical="center" readingOrder="1"/>
    </xf>
    <xf numFmtId="14" fontId="19" fillId="0" borderId="13" xfId="0" applyNumberFormat="1" applyFont="1" applyBorder="1" applyAlignment="1">
      <alignment horizontal="left" vertical="center" readingOrder="1"/>
    </xf>
    <xf numFmtId="0" fontId="19" fillId="0" borderId="14" xfId="0" applyFont="1" applyBorder="1" applyAlignment="1">
      <alignment vertical="center" readingOrder="1"/>
    </xf>
    <xf numFmtId="0" fontId="19" fillId="0" borderId="14" xfId="0" applyFont="1" applyBorder="1" applyAlignment="1">
      <alignment horizontal="left" vertical="center" readingOrder="1"/>
    </xf>
    <xf numFmtId="14" fontId="19" fillId="0" borderId="14" xfId="0" applyNumberFormat="1" applyFont="1" applyBorder="1" applyAlignment="1">
      <alignment horizontal="left" vertical="center" readingOrder="1"/>
    </xf>
    <xf numFmtId="0" fontId="24" fillId="0" borderId="12" xfId="0" applyFont="1" applyBorder="1" applyAlignment="1">
      <alignment horizontal="left" vertical="center" readingOrder="1"/>
    </xf>
    <xf numFmtId="0" fontId="20" fillId="0" borderId="11" xfId="0" applyFont="1" applyBorder="1" applyAlignment="1">
      <alignment horizontal="center" vertical="center" wrapText="1" readingOrder="1"/>
    </xf>
    <xf numFmtId="0" fontId="21" fillId="33" borderId="11" xfId="0" applyFont="1" applyFill="1" applyBorder="1" applyAlignment="1">
      <alignment horizontal="center" vertical="center" wrapText="1" readingOrder="1"/>
    </xf>
    <xf numFmtId="0" fontId="21" fillId="33" borderId="11" xfId="0" applyFont="1" applyFill="1" applyBorder="1" applyAlignment="1">
      <alignment horizontal="center" vertical="center" readingOrder="1"/>
    </xf>
    <xf numFmtId="0" fontId="19" fillId="33" borderId="13" xfId="0" applyFont="1" applyFill="1" applyBorder="1" applyAlignment="1">
      <alignment horizontal="left" vertical="center" readingOrder="1"/>
    </xf>
    <xf numFmtId="0" fontId="19" fillId="33" borderId="14" xfId="0" applyFont="1" applyFill="1" applyBorder="1" applyAlignment="1">
      <alignment horizontal="left" vertical="center" readingOrder="1"/>
    </xf>
    <xf numFmtId="0" fontId="26" fillId="0" borderId="10" xfId="42" applyFont="1" applyBorder="1" applyAlignment="1">
      <alignment horizontal="center" vertical="center"/>
    </xf>
    <xf numFmtId="0" fontId="26" fillId="0" borderId="0" xfId="42" applyFont="1" applyAlignment="1">
      <alignment horizontal="center" vertical="center"/>
    </xf>
    <xf numFmtId="0" fontId="27" fillId="0" borderId="0" xfId="42" applyFont="1"/>
    <xf numFmtId="0" fontId="19" fillId="0" borderId="10" xfId="0" applyFont="1" applyBorder="1" applyAlignment="1">
      <alignment vertical="center" readingOrder="1"/>
    </xf>
    <xf numFmtId="0" fontId="19" fillId="0" borderId="11" xfId="0" applyFont="1" applyBorder="1" applyAlignment="1">
      <alignment vertical="center" readingOrder="1"/>
    </xf>
    <xf numFmtId="0" fontId="19" fillId="0" borderId="11" xfId="0" applyFont="1" applyBorder="1" applyAlignment="1">
      <alignment horizontal="left" vertical="center" wrapText="1" readingOrder="1"/>
    </xf>
    <xf numFmtId="0" fontId="19" fillId="0" borderId="11" xfId="0" applyFont="1" applyBorder="1" applyAlignment="1">
      <alignment vertical="center" wrapText="1" readingOrder="1"/>
    </xf>
    <xf numFmtId="14" fontId="19" fillId="0" borderId="11" xfId="0" applyNumberFormat="1" applyFont="1" applyBorder="1" applyAlignment="1">
      <alignment horizontal="center" vertical="center" wrapText="1" readingOrder="1"/>
    </xf>
    <xf numFmtId="14" fontId="25" fillId="0" borderId="11" xfId="0" applyNumberFormat="1" applyFont="1" applyBorder="1" applyAlignment="1">
      <alignment horizontal="left" vertical="center" wrapText="1" readingOrder="1"/>
    </xf>
    <xf numFmtId="0" fontId="19" fillId="0" borderId="11" xfId="0" applyFont="1" applyBorder="1" applyAlignment="1">
      <alignment horizontal="left" vertical="center" readingOrder="1"/>
    </xf>
    <xf numFmtId="0" fontId="19" fillId="0" borderId="11" xfId="0" applyFont="1" applyBorder="1" applyAlignment="1">
      <alignment horizontal="center" vertical="center" readingOrder="1"/>
    </xf>
    <xf numFmtId="0" fontId="0" fillId="0" borderId="11" xfId="0" applyBorder="1">
      <alignment vertical="center"/>
    </xf>
    <xf numFmtId="0" fontId="19" fillId="33" borderId="11" xfId="0" applyFont="1" applyFill="1" applyBorder="1" applyAlignment="1">
      <alignment horizontal="center" vertical="center" wrapText="1" readingOrder="1"/>
    </xf>
    <xf numFmtId="14" fontId="19" fillId="33" borderId="11" xfId="0" applyNumberFormat="1" applyFont="1" applyFill="1" applyBorder="1" applyAlignment="1">
      <alignment horizontal="center" vertical="center" wrapText="1" readingOrder="1"/>
    </xf>
    <xf numFmtId="0" fontId="25" fillId="0" borderId="11" xfId="0" applyFont="1" applyBorder="1" applyAlignment="1">
      <alignment horizontal="left" vertical="center" wrapText="1" readingOrder="1"/>
    </xf>
    <xf numFmtId="14" fontId="19" fillId="0" borderId="11" xfId="0" applyNumberFormat="1" applyFont="1" applyBorder="1" applyAlignment="1">
      <alignment horizontal="left" vertical="center" wrapText="1" readingOrder="1"/>
    </xf>
    <xf numFmtId="0" fontId="22" fillId="33" borderId="11" xfId="0" applyFont="1" applyFill="1" applyBorder="1" applyAlignment="1">
      <alignment vertical="center" readingOrder="1"/>
    </xf>
    <xf numFmtId="0" fontId="22" fillId="33" borderId="11" xfId="0" applyFont="1" applyFill="1" applyBorder="1" applyAlignment="1">
      <alignment horizontal="left" vertical="center" wrapText="1" readingOrder="1"/>
    </xf>
    <xf numFmtId="0" fontId="22" fillId="33" borderId="11" xfId="0" applyFont="1" applyFill="1" applyBorder="1" applyAlignment="1">
      <alignment vertical="center" wrapText="1" readingOrder="1"/>
    </xf>
    <xf numFmtId="14" fontId="22" fillId="33" borderId="11" xfId="0" applyNumberFormat="1" applyFont="1" applyFill="1" applyBorder="1" applyAlignment="1">
      <alignment horizontal="center" vertical="center" wrapText="1" readingOrder="1"/>
    </xf>
    <xf numFmtId="14" fontId="22" fillId="33" borderId="11" xfId="0" applyNumberFormat="1" applyFont="1" applyFill="1" applyBorder="1" applyAlignment="1">
      <alignment horizontal="left" vertical="center" wrapText="1" readingOrder="1"/>
    </xf>
    <xf numFmtId="0" fontId="22" fillId="33" borderId="11" xfId="0" applyFont="1" applyFill="1" applyBorder="1" applyAlignment="1">
      <alignment horizontal="left" vertical="center" readingOrder="1"/>
    </xf>
    <xf numFmtId="0" fontId="22" fillId="33" borderId="11" xfId="0" applyFont="1" applyFill="1" applyBorder="1" applyAlignment="1">
      <alignment horizontal="center" vertical="center" readingOrder="1"/>
    </xf>
    <xf numFmtId="0" fontId="0" fillId="33" borderId="11" xfId="0" applyFill="1" applyBorder="1" applyAlignment="1">
      <alignment horizontal="left" vertical="center"/>
    </xf>
    <xf numFmtId="0" fontId="0" fillId="33" borderId="11" xfId="0" applyFill="1" applyBorder="1">
      <alignment vertical="center"/>
    </xf>
    <xf numFmtId="0" fontId="0" fillId="33" borderId="11" xfId="0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81D97B1C-17F8-43C9-8348-47D8981B5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ceo/Desktop/KOL_Dashboard%20_%2025.08.27%20ver.2.0.xlsx" TargetMode="External"/><Relationship Id="rId1" Type="http://schemas.openxmlformats.org/officeDocument/2006/relationships/externalLinkPath" Target="https://d.docs.live.net/Users/ceo/Desktop/KOL_Dashboard%20_%2025.08.27%20ver.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L Activities"/>
      <sheetName val="Dashboard"/>
      <sheetName val="Targets"/>
      <sheetName val="Contracts"/>
      <sheetName val="Plans"/>
      <sheetName val="Reminders"/>
      <sheetName val="Raw Data"/>
    </sheetNames>
    <sheetDataSet>
      <sheetData sheetId="0"/>
      <sheetData sheetId="1"/>
      <sheetData sheetId="2"/>
      <sheetData sheetId="3">
        <row r="1">
          <cell r="A1" t="str">
            <v>KOL</v>
          </cell>
          <cell r="B1" t="str">
            <v>Contract Start</v>
          </cell>
          <cell r="C1" t="str">
            <v>Contract End</v>
          </cell>
        </row>
        <row r="2">
          <cell r="A2" t="str">
            <v>Dr.Lukaz Zadrozny</v>
          </cell>
          <cell r="B2">
            <v>45816</v>
          </cell>
          <cell r="C2">
            <v>46022</v>
          </cell>
        </row>
        <row r="3">
          <cell r="A3" t="str">
            <v>Dr.Robert Jung</v>
          </cell>
          <cell r="B3">
            <v>45758</v>
          </cell>
          <cell r="C3">
            <v>46022</v>
          </cell>
        </row>
        <row r="4">
          <cell r="A4" t="str">
            <v>Dr.Filip Rebelo</v>
          </cell>
          <cell r="B4">
            <v>45757</v>
          </cell>
          <cell r="C4">
            <v>46022</v>
          </cell>
        </row>
        <row r="5">
          <cell r="A5" t="str">
            <v>Dr.Emmanuel Bocquet</v>
          </cell>
          <cell r="B5">
            <v>45757</v>
          </cell>
          <cell r="C5">
            <v>46022</v>
          </cell>
        </row>
        <row r="6">
          <cell r="A6" t="str">
            <v>Dr.Alexandre Richard</v>
          </cell>
          <cell r="B6">
            <v>45764</v>
          </cell>
          <cell r="C6">
            <v>46022</v>
          </cell>
        </row>
        <row r="7">
          <cell r="A7" t="str">
            <v>Dr.Gabriel Musetescu</v>
          </cell>
          <cell r="B7">
            <v>45778</v>
          </cell>
          <cell r="C7">
            <v>46022</v>
          </cell>
        </row>
        <row r="8">
          <cell r="A8" t="str">
            <v>Dr.Sapaar Bayarmagnai</v>
          </cell>
          <cell r="B8">
            <v>45763</v>
          </cell>
          <cell r="C8">
            <v>46022</v>
          </cell>
        </row>
        <row r="9">
          <cell r="A9" t="str">
            <v>Dr.Priyam Aditya</v>
          </cell>
          <cell r="B9">
            <v>45763</v>
          </cell>
          <cell r="C9">
            <v>46022</v>
          </cell>
        </row>
        <row r="10">
          <cell r="A10" t="str">
            <v>Dr.Sameh Shaaban</v>
          </cell>
          <cell r="B10">
            <v>45764</v>
          </cell>
          <cell r="C10">
            <v>46022</v>
          </cell>
        </row>
        <row r="11">
          <cell r="A11" t="str">
            <v>Dr.Amr Elkhadem</v>
          </cell>
          <cell r="B11">
            <v>45764</v>
          </cell>
          <cell r="C11">
            <v>46022</v>
          </cell>
        </row>
        <row r="12">
          <cell r="A12" t="str">
            <v>Dr.Mohamed Elashry</v>
          </cell>
          <cell r="B12">
            <v>45764</v>
          </cell>
          <cell r="C12">
            <v>46022</v>
          </cell>
        </row>
        <row r="13">
          <cell r="A13" t="str">
            <v>Dr.Marco Tallarico</v>
          </cell>
          <cell r="B13">
            <v>45723</v>
          </cell>
          <cell r="C13">
            <v>46088</v>
          </cell>
        </row>
        <row r="14">
          <cell r="A14" t="str">
            <v>Dr.Justinas Pletkus</v>
          </cell>
          <cell r="B14">
            <v>45784</v>
          </cell>
          <cell r="C14">
            <v>46149</v>
          </cell>
        </row>
        <row r="15">
          <cell r="A15" t="str">
            <v>Dr.Manapat Thavee.</v>
          </cell>
          <cell r="B15">
            <v>45839</v>
          </cell>
          <cell r="C15">
            <v>46203</v>
          </cell>
        </row>
        <row r="16">
          <cell r="A16" t="str">
            <v>Dr.Michalis</v>
          </cell>
          <cell r="B16">
            <v>45839</v>
          </cell>
          <cell r="C16">
            <v>46204</v>
          </cell>
        </row>
        <row r="17">
          <cell r="A17" t="str">
            <v>Dr.Oz</v>
          </cell>
          <cell r="B17">
            <v>45839</v>
          </cell>
          <cell r="C17">
            <v>46204</v>
          </cell>
        </row>
        <row r="18">
          <cell r="A18" t="str">
            <v>Dr.Sadovnychyi</v>
          </cell>
          <cell r="B18">
            <v>45852</v>
          </cell>
          <cell r="C18">
            <v>46216</v>
          </cell>
        </row>
        <row r="19">
          <cell r="A19" t="str">
            <v>Dr.Sluchevskij</v>
          </cell>
          <cell r="B19">
            <v>45852</v>
          </cell>
          <cell r="C19">
            <v>46216</v>
          </cell>
        </row>
        <row r="20">
          <cell r="A20" t="str">
            <v>Dr.Ahmad</v>
          </cell>
          <cell r="B20">
            <v>45866</v>
          </cell>
          <cell r="C20">
            <v>46231</v>
          </cell>
        </row>
        <row r="21">
          <cell r="A21" t="str">
            <v>Dr.Sador</v>
          </cell>
          <cell r="B21">
            <v>45883</v>
          </cell>
          <cell r="C21">
            <v>46247</v>
          </cell>
        </row>
        <row r="22">
          <cell r="A22" t="str">
            <v>Dr.Grzegorz</v>
          </cell>
          <cell r="B22">
            <v>45899</v>
          </cell>
          <cell r="C22">
            <v>46264</v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 t="str">
            <v/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 t="str">
            <v/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  <row r="89">
          <cell r="C89" t="str">
            <v/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 t="str">
            <v/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 t="str">
            <v/>
          </cell>
        </row>
        <row r="112">
          <cell r="C112" t="str">
            <v/>
          </cell>
        </row>
        <row r="113">
          <cell r="C113" t="str">
            <v/>
          </cell>
        </row>
        <row r="114">
          <cell r="C114" t="str">
            <v/>
          </cell>
        </row>
        <row r="115">
          <cell r="C115" t="str">
            <v/>
          </cell>
        </row>
        <row r="116">
          <cell r="C116" t="str">
            <v/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 t="str">
            <v/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 t="str">
            <v/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 t="str">
            <v/>
          </cell>
        </row>
        <row r="134">
          <cell r="C134" t="str">
            <v/>
          </cell>
        </row>
        <row r="135">
          <cell r="C135" t="str">
            <v/>
          </cell>
        </row>
        <row r="136">
          <cell r="C136" t="str">
            <v/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 t="str">
            <v/>
          </cell>
        </row>
        <row r="141">
          <cell r="C141" t="str">
            <v/>
          </cell>
        </row>
        <row r="142">
          <cell r="C142" t="str">
            <v/>
          </cell>
        </row>
        <row r="143">
          <cell r="C143" t="str">
            <v/>
          </cell>
        </row>
        <row r="144">
          <cell r="C144" t="str">
            <v/>
          </cell>
        </row>
        <row r="145">
          <cell r="C145" t="str">
            <v/>
          </cell>
        </row>
        <row r="146">
          <cell r="C146" t="str">
            <v/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 t="str">
            <v/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 t="str">
            <v/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 t="str">
            <v/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 t="str">
            <v/>
          </cell>
        </row>
        <row r="173">
          <cell r="C173" t="str">
            <v/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 t="str">
            <v/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 t="str">
            <v/>
          </cell>
        </row>
        <row r="181">
          <cell r="C181" t="str">
            <v/>
          </cell>
        </row>
        <row r="182">
          <cell r="C182" t="str">
            <v/>
          </cell>
        </row>
        <row r="183">
          <cell r="C183" t="str">
            <v/>
          </cell>
        </row>
        <row r="184">
          <cell r="C184" t="str">
            <v/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 t="str">
            <v/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 t="str">
            <v/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 t="str">
            <v/>
          </cell>
        </row>
        <row r="197">
          <cell r="C197" t="str">
            <v/>
          </cell>
        </row>
        <row r="198">
          <cell r="C198" t="str">
            <v/>
          </cell>
        </row>
        <row r="199">
          <cell r="C199" t="str">
            <v/>
          </cell>
        </row>
        <row r="200">
          <cell r="C200" t="str">
            <v/>
          </cell>
        </row>
        <row r="201">
          <cell r="C201" t="str">
            <v/>
          </cell>
        </row>
        <row r="202">
          <cell r="C202" t="str">
            <v/>
          </cell>
        </row>
        <row r="203">
          <cell r="C203" t="str">
            <v/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 t="str">
            <v/>
          </cell>
        </row>
        <row r="210">
          <cell r="C210" t="str">
            <v/>
          </cell>
        </row>
        <row r="211">
          <cell r="C211" t="str">
            <v/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 t="str">
            <v/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 t="str">
            <v/>
          </cell>
        </row>
        <row r="259">
          <cell r="C259" t="str">
            <v/>
          </cell>
        </row>
        <row r="260">
          <cell r="C260" t="str">
            <v/>
          </cell>
        </row>
        <row r="261">
          <cell r="C261" t="str">
            <v/>
          </cell>
        </row>
        <row r="262">
          <cell r="C262" t="str">
            <v/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 t="str">
            <v/>
          </cell>
        </row>
        <row r="266">
          <cell r="C266" t="str">
            <v/>
          </cell>
        </row>
        <row r="267">
          <cell r="C267" t="str">
            <v/>
          </cell>
        </row>
        <row r="268">
          <cell r="C268" t="str">
            <v/>
          </cell>
        </row>
        <row r="269">
          <cell r="C269" t="str">
            <v/>
          </cell>
        </row>
        <row r="270">
          <cell r="C270" t="str">
            <v/>
          </cell>
        </row>
        <row r="271">
          <cell r="C271" t="str">
            <v/>
          </cell>
        </row>
        <row r="272">
          <cell r="C272" t="str">
            <v/>
          </cell>
        </row>
        <row r="273">
          <cell r="C273" t="str">
            <v/>
          </cell>
        </row>
        <row r="274">
          <cell r="C274" t="str">
            <v/>
          </cell>
        </row>
        <row r="275">
          <cell r="C275" t="str">
            <v/>
          </cell>
        </row>
        <row r="276">
          <cell r="C276" t="str">
            <v/>
          </cell>
        </row>
        <row r="277">
          <cell r="C277" t="str">
            <v/>
          </cell>
        </row>
        <row r="278">
          <cell r="C278" t="str">
            <v/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 t="str">
            <v/>
          </cell>
        </row>
        <row r="282">
          <cell r="C282" t="str">
            <v/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 t="str">
            <v/>
          </cell>
        </row>
        <row r="288">
          <cell r="C288" t="str">
            <v/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 t="str">
            <v/>
          </cell>
        </row>
        <row r="292">
          <cell r="C292" t="str">
            <v/>
          </cell>
        </row>
        <row r="293">
          <cell r="C293" t="str">
            <v/>
          </cell>
        </row>
        <row r="294">
          <cell r="C294" t="str">
            <v/>
          </cell>
        </row>
        <row r="295">
          <cell r="C295" t="str">
            <v/>
          </cell>
        </row>
        <row r="296">
          <cell r="C296" t="str">
            <v/>
          </cell>
        </row>
        <row r="297">
          <cell r="C297" t="str">
            <v/>
          </cell>
        </row>
        <row r="298">
          <cell r="C298" t="str">
            <v/>
          </cell>
        </row>
        <row r="299">
          <cell r="C299" t="str">
            <v/>
          </cell>
        </row>
        <row r="300">
          <cell r="C300" t="str">
            <v/>
          </cell>
        </row>
        <row r="301">
          <cell r="C301" t="str">
            <v/>
          </cell>
        </row>
        <row r="302">
          <cell r="C302" t="str">
            <v/>
          </cell>
        </row>
        <row r="303">
          <cell r="C303" t="str">
            <v/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 t="str">
            <v/>
          </cell>
        </row>
        <row r="310">
          <cell r="C310" t="str">
            <v/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 t="str">
            <v/>
          </cell>
        </row>
        <row r="314">
          <cell r="C314" t="str">
            <v/>
          </cell>
        </row>
        <row r="315">
          <cell r="C315" t="str">
            <v/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 t="str">
            <v/>
          </cell>
        </row>
        <row r="319">
          <cell r="C319" t="str">
            <v/>
          </cell>
        </row>
        <row r="320">
          <cell r="C320" t="str">
            <v/>
          </cell>
        </row>
        <row r="321">
          <cell r="C321" t="str">
            <v/>
          </cell>
        </row>
        <row r="322">
          <cell r="C322" t="str">
            <v/>
          </cell>
        </row>
        <row r="323">
          <cell r="C323" t="str">
            <v/>
          </cell>
        </row>
        <row r="324">
          <cell r="C324" t="str">
            <v/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 t="str">
            <v/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 t="str">
            <v/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 t="str">
            <v/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 t="str">
            <v/>
          </cell>
        </row>
        <row r="355">
          <cell r="C355" t="str">
            <v/>
          </cell>
        </row>
        <row r="356">
          <cell r="C356" t="str">
            <v/>
          </cell>
        </row>
        <row r="357">
          <cell r="C357" t="str">
            <v/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 t="str">
            <v/>
          </cell>
        </row>
        <row r="363">
          <cell r="C363" t="str">
            <v/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 t="str">
            <v/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 t="str">
            <v/>
          </cell>
        </row>
        <row r="386">
          <cell r="C386" t="str">
            <v/>
          </cell>
        </row>
        <row r="387">
          <cell r="C387" t="str">
            <v/>
          </cell>
        </row>
        <row r="388">
          <cell r="C388" t="str">
            <v/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 t="str">
            <v/>
          </cell>
        </row>
        <row r="393">
          <cell r="C393" t="str">
            <v/>
          </cell>
        </row>
        <row r="394">
          <cell r="C394" t="str">
            <v/>
          </cell>
        </row>
        <row r="395">
          <cell r="C395" t="str">
            <v/>
          </cell>
        </row>
        <row r="396">
          <cell r="C396" t="str">
            <v/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 t="str">
            <v/>
          </cell>
        </row>
        <row r="400">
          <cell r="C400" t="str">
            <v/>
          </cell>
        </row>
        <row r="401">
          <cell r="C401" t="str">
            <v/>
          </cell>
        </row>
        <row r="402">
          <cell r="C402" t="str">
            <v/>
          </cell>
        </row>
        <row r="403">
          <cell r="C403" t="str">
            <v/>
          </cell>
        </row>
        <row r="404">
          <cell r="C404" t="str">
            <v/>
          </cell>
        </row>
        <row r="405">
          <cell r="C405" t="str">
            <v/>
          </cell>
        </row>
        <row r="406">
          <cell r="C406" t="str">
            <v/>
          </cell>
        </row>
        <row r="407">
          <cell r="C407" t="str">
            <v/>
          </cell>
        </row>
        <row r="408">
          <cell r="C408" t="str">
            <v/>
          </cell>
        </row>
        <row r="409">
          <cell r="C409" t="str">
            <v/>
          </cell>
        </row>
        <row r="410">
          <cell r="C410" t="str">
            <v/>
          </cell>
        </row>
        <row r="411">
          <cell r="C411" t="str">
            <v/>
          </cell>
        </row>
        <row r="412">
          <cell r="C412" t="str">
            <v/>
          </cell>
        </row>
        <row r="413">
          <cell r="C413" t="str">
            <v/>
          </cell>
        </row>
        <row r="414">
          <cell r="C414" t="str">
            <v/>
          </cell>
        </row>
        <row r="415">
          <cell r="C415" t="str">
            <v/>
          </cell>
        </row>
        <row r="416">
          <cell r="C416" t="str">
            <v/>
          </cell>
        </row>
        <row r="417">
          <cell r="C417" t="str">
            <v/>
          </cell>
        </row>
        <row r="418">
          <cell r="C418" t="str">
            <v/>
          </cell>
        </row>
        <row r="419">
          <cell r="C419" t="str">
            <v/>
          </cell>
        </row>
        <row r="420">
          <cell r="C420" t="str">
            <v/>
          </cell>
        </row>
        <row r="421">
          <cell r="C421" t="str">
            <v/>
          </cell>
        </row>
        <row r="422">
          <cell r="C422" t="str">
            <v/>
          </cell>
        </row>
        <row r="423">
          <cell r="C423" t="str">
            <v/>
          </cell>
        </row>
        <row r="424">
          <cell r="C424" t="str">
            <v/>
          </cell>
        </row>
        <row r="425">
          <cell r="C425" t="str">
            <v/>
          </cell>
        </row>
        <row r="426">
          <cell r="C426" t="str">
            <v/>
          </cell>
        </row>
        <row r="427">
          <cell r="C427" t="str">
            <v/>
          </cell>
        </row>
        <row r="428">
          <cell r="C428" t="str">
            <v/>
          </cell>
        </row>
        <row r="429">
          <cell r="C429" t="str">
            <v/>
          </cell>
        </row>
        <row r="430">
          <cell r="C430" t="str">
            <v/>
          </cell>
        </row>
        <row r="431">
          <cell r="C431" t="str">
            <v/>
          </cell>
        </row>
        <row r="432">
          <cell r="C432" t="str">
            <v/>
          </cell>
        </row>
        <row r="433">
          <cell r="C433" t="str">
            <v/>
          </cell>
        </row>
        <row r="434">
          <cell r="C434" t="str">
            <v/>
          </cell>
        </row>
        <row r="435">
          <cell r="C435" t="str">
            <v/>
          </cell>
        </row>
        <row r="436">
          <cell r="C436" t="str">
            <v/>
          </cell>
        </row>
        <row r="437">
          <cell r="C437" t="str">
            <v/>
          </cell>
        </row>
        <row r="438">
          <cell r="C438" t="str">
            <v/>
          </cell>
        </row>
        <row r="439">
          <cell r="C439" t="str">
            <v/>
          </cell>
        </row>
        <row r="440">
          <cell r="C440" t="str">
            <v/>
          </cell>
        </row>
        <row r="441">
          <cell r="C441" t="str">
            <v/>
          </cell>
        </row>
        <row r="442">
          <cell r="C442" t="str">
            <v/>
          </cell>
        </row>
        <row r="443">
          <cell r="C443" t="str">
            <v/>
          </cell>
        </row>
        <row r="444">
          <cell r="C444" t="str">
            <v/>
          </cell>
        </row>
        <row r="445">
          <cell r="C445" t="str">
            <v/>
          </cell>
        </row>
        <row r="446">
          <cell r="C446" t="str">
            <v/>
          </cell>
        </row>
        <row r="447">
          <cell r="C447" t="str">
            <v/>
          </cell>
        </row>
        <row r="448">
          <cell r="C448" t="str">
            <v/>
          </cell>
        </row>
        <row r="449">
          <cell r="C449" t="str">
            <v/>
          </cell>
        </row>
        <row r="450">
          <cell r="C450" t="str">
            <v/>
          </cell>
        </row>
        <row r="451">
          <cell r="C451" t="str">
            <v/>
          </cell>
        </row>
        <row r="452">
          <cell r="C452" t="str">
            <v/>
          </cell>
        </row>
        <row r="453">
          <cell r="C453" t="str">
            <v/>
          </cell>
        </row>
        <row r="454">
          <cell r="C454" t="str">
            <v/>
          </cell>
        </row>
        <row r="455">
          <cell r="C455" t="str">
            <v/>
          </cell>
        </row>
        <row r="456">
          <cell r="C456" t="str">
            <v/>
          </cell>
        </row>
        <row r="457">
          <cell r="C457" t="str">
            <v/>
          </cell>
        </row>
        <row r="458">
          <cell r="C458" t="str">
            <v/>
          </cell>
        </row>
        <row r="459">
          <cell r="C459" t="str">
            <v/>
          </cell>
        </row>
        <row r="460">
          <cell r="C460" t="str">
            <v/>
          </cell>
        </row>
        <row r="461">
          <cell r="C461" t="str">
            <v/>
          </cell>
        </row>
        <row r="462">
          <cell r="C462" t="str">
            <v/>
          </cell>
        </row>
        <row r="463">
          <cell r="C463" t="str">
            <v/>
          </cell>
        </row>
        <row r="464">
          <cell r="C464" t="str">
            <v/>
          </cell>
        </row>
        <row r="465">
          <cell r="C465" t="str">
            <v/>
          </cell>
        </row>
        <row r="466">
          <cell r="C466" t="str">
            <v/>
          </cell>
        </row>
        <row r="467">
          <cell r="C467" t="str">
            <v/>
          </cell>
        </row>
        <row r="468">
          <cell r="C468" t="str">
            <v/>
          </cell>
        </row>
        <row r="469">
          <cell r="C469" t="str">
            <v/>
          </cell>
        </row>
        <row r="470">
          <cell r="C470" t="str">
            <v/>
          </cell>
        </row>
        <row r="471">
          <cell r="C471" t="str">
            <v/>
          </cell>
        </row>
        <row r="472">
          <cell r="C472" t="str">
            <v/>
          </cell>
        </row>
        <row r="473">
          <cell r="C473" t="str">
            <v/>
          </cell>
        </row>
        <row r="474">
          <cell r="C474" t="str">
            <v/>
          </cell>
        </row>
        <row r="475">
          <cell r="C475" t="str">
            <v/>
          </cell>
        </row>
        <row r="476">
          <cell r="C476" t="str">
            <v/>
          </cell>
        </row>
        <row r="477">
          <cell r="C477" t="str">
            <v/>
          </cell>
        </row>
        <row r="478">
          <cell r="C478" t="str">
            <v/>
          </cell>
        </row>
        <row r="479">
          <cell r="C479" t="str">
            <v/>
          </cell>
        </row>
        <row r="480">
          <cell r="C480" t="str">
            <v/>
          </cell>
        </row>
        <row r="481">
          <cell r="C481" t="str">
            <v/>
          </cell>
        </row>
        <row r="482">
          <cell r="C482" t="str">
            <v/>
          </cell>
        </row>
        <row r="483">
          <cell r="C483" t="str">
            <v/>
          </cell>
        </row>
        <row r="484">
          <cell r="C484" t="str">
            <v/>
          </cell>
        </row>
        <row r="485">
          <cell r="C485" t="str">
            <v/>
          </cell>
        </row>
        <row r="486">
          <cell r="C486" t="str">
            <v/>
          </cell>
        </row>
        <row r="487">
          <cell r="C487" t="str">
            <v/>
          </cell>
        </row>
        <row r="488">
          <cell r="C488" t="str">
            <v/>
          </cell>
        </row>
        <row r="489">
          <cell r="C489" t="str">
            <v/>
          </cell>
        </row>
        <row r="490">
          <cell r="C490" t="str">
            <v/>
          </cell>
        </row>
        <row r="491">
          <cell r="C491" t="str">
            <v/>
          </cell>
        </row>
        <row r="492">
          <cell r="C492" t="str">
            <v/>
          </cell>
        </row>
        <row r="493">
          <cell r="C493" t="str">
            <v/>
          </cell>
        </row>
        <row r="494">
          <cell r="C494" t="str">
            <v/>
          </cell>
        </row>
        <row r="495">
          <cell r="C495" t="str">
            <v/>
          </cell>
        </row>
        <row r="496">
          <cell r="C496" t="str">
            <v/>
          </cell>
        </row>
        <row r="497">
          <cell r="C497" t="str">
            <v/>
          </cell>
        </row>
        <row r="498">
          <cell r="C498" t="str">
            <v/>
          </cell>
        </row>
        <row r="499">
          <cell r="C499" t="str">
            <v/>
          </cell>
        </row>
        <row r="500">
          <cell r="C500" t="str">
            <v/>
          </cell>
        </row>
        <row r="501">
          <cell r="C501" t="str">
            <v/>
          </cell>
        </row>
        <row r="502">
          <cell r="C502" t="str">
            <v/>
          </cell>
        </row>
        <row r="503">
          <cell r="C503" t="str">
            <v/>
          </cell>
        </row>
        <row r="504">
          <cell r="C504" t="str">
            <v/>
          </cell>
        </row>
        <row r="505">
          <cell r="C505" t="str">
            <v/>
          </cell>
        </row>
        <row r="506">
          <cell r="C506" t="str">
            <v/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11E0-BC2B-43AF-95C5-165E9D19FA3D}">
  <dimension ref="A1:N106"/>
  <sheetViews>
    <sheetView tabSelected="1" workbookViewId="0"/>
  </sheetViews>
  <sheetFormatPr baseColWidth="10" defaultColWidth="8.83203125" defaultRowHeight="17"/>
  <cols>
    <col min="1" max="1" width="20.6640625" customWidth="1"/>
    <col min="2" max="2" width="20.6640625" style="2" customWidth="1"/>
    <col min="3" max="5" width="20.6640625" customWidth="1"/>
    <col min="6" max="8" width="20.6640625" style="1" customWidth="1"/>
    <col min="9" max="11" width="20.6640625" style="2" customWidth="1"/>
    <col min="12" max="14" width="14.83203125" style="1" bestFit="1" customWidth="1"/>
  </cols>
  <sheetData>
    <row r="1" spans="1:14" s="1" customFormat="1" ht="15" customHeight="1">
      <c r="A1" s="6" t="s">
        <v>1</v>
      </c>
      <c r="B1" s="17" t="s">
        <v>0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154</v>
      </c>
      <c r="I1" s="18" t="s">
        <v>85</v>
      </c>
      <c r="J1" s="19" t="s">
        <v>57</v>
      </c>
      <c r="K1" s="19" t="s">
        <v>134</v>
      </c>
      <c r="L1" s="19" t="s">
        <v>133</v>
      </c>
      <c r="M1" s="19" t="s">
        <v>155</v>
      </c>
      <c r="N1" s="19" t="s">
        <v>156</v>
      </c>
    </row>
    <row r="2" spans="1:14" ht="15" customHeight="1">
      <c r="A2" s="26" t="s">
        <v>7</v>
      </c>
      <c r="B2" s="27">
        <v>101001</v>
      </c>
      <c r="C2" s="28" t="s">
        <v>8</v>
      </c>
      <c r="D2" s="28" t="s">
        <v>9</v>
      </c>
      <c r="E2" s="28"/>
      <c r="F2" s="29">
        <v>45758</v>
      </c>
      <c r="G2" s="29">
        <v>46022</v>
      </c>
      <c r="H2" s="29" t="str">
        <f ca="1">IF(ISBLANK(G2), "", IF(INT(G2 - TODAY()) &gt;= 0, "D-" &amp; INT(G2 - TODAY()), "D+" &amp; ABS(INT(G2 - TODAY()))))</f>
        <v>D-44</v>
      </c>
      <c r="I2" s="30" t="s">
        <v>70</v>
      </c>
      <c r="J2" s="31" t="s">
        <v>58</v>
      </c>
      <c r="K2" s="31" t="s">
        <v>135</v>
      </c>
      <c r="L2" s="32" cm="1">
        <f t="array" ref="L2">_xlfn.IFS(OR(ISBLANK(F2), ISBLANK(G2), ISBLANK(K2)), "", K2="per quarter", (ROUNDUP(MONTH(G2)/3,0) - ROUNDUP(MONTH(F2)/3,0)) + (YEAR(G2) - YEAR(F2)) * 4 + 1, K2="per month", (MONTH(G2) - MONTH(F2)) + (YEAR(G2) - YEAR(F2)) * 12 + 1, K2="bimonthly", ROUNDUP(((MONTH(G2) - MONTH(F2)) + (YEAR(G2) - YEAR(F2)) * 12 + 1) / 2, 0), K2="per year", (YEAR(G2) - YEAR(F2)) + 1, K2="biyear", ROUNDUP(((YEAR(G2) - YEAR(F2)) + 1) / 2, 0), TRUE, "")</f>
        <v>3</v>
      </c>
      <c r="M2" s="33">
        <v>-3.4359730000000002</v>
      </c>
      <c r="N2" s="33">
        <v>55.378050999999999</v>
      </c>
    </row>
    <row r="3" spans="1:14" ht="15" customHeight="1">
      <c r="A3" s="26" t="s">
        <v>10</v>
      </c>
      <c r="B3" s="27">
        <v>102001</v>
      </c>
      <c r="C3" s="28" t="s">
        <v>8</v>
      </c>
      <c r="D3" s="28" t="s">
        <v>11</v>
      </c>
      <c r="E3" s="28"/>
      <c r="F3" s="29">
        <v>45757</v>
      </c>
      <c r="G3" s="29">
        <v>46022</v>
      </c>
      <c r="H3" s="29" t="str">
        <f t="shared" ref="H3:H66" ca="1" si="0">IF(ISBLANK(G3), "", IF(INT(G3 - TODAY()) &gt;= 0, "D-" &amp; INT(G3 - TODAY()), "D+" &amp; ABS(INT(G3 - TODAY()))))</f>
        <v>D-44</v>
      </c>
      <c r="I3" s="30" t="s">
        <v>70</v>
      </c>
      <c r="J3" s="31" t="s">
        <v>58</v>
      </c>
      <c r="K3" s="31" t="s">
        <v>135</v>
      </c>
      <c r="L3" s="32" cm="1">
        <f t="array" ref="L3">_xlfn.IFS(OR(ISBLANK(F3), ISBLANK(G3), ISBLANK(K3)), "", K3="per quarter", (ROUNDUP(MONTH(G3)/3,0) - ROUNDUP(MONTH(F3)/3,0)) + (YEAR(G3) - YEAR(F3)) * 4 + 1, K3="per month", (MONTH(G3) - MONTH(F3)) + (YEAR(G3) - YEAR(F3)) * 12 + 1, K3="bimonthly", ROUNDUP(((MONTH(G3) - MONTH(F3)) + (YEAR(G3) - YEAR(F3)) * 12 + 1) / 2, 0), K3="per year", (YEAR(G3) - YEAR(F3)) + 1, K3="biyear", ROUNDUP(((YEAR(G3) - YEAR(F3)) + 1) / 2, 0), TRUE, "")</f>
        <v>3</v>
      </c>
      <c r="M3" s="33">
        <v>13.0049273</v>
      </c>
      <c r="N3" s="33">
        <v>55.604806600000003</v>
      </c>
    </row>
    <row r="4" spans="1:14" ht="15" customHeight="1">
      <c r="A4" s="26" t="s">
        <v>10</v>
      </c>
      <c r="B4" s="27">
        <v>102001</v>
      </c>
      <c r="C4" s="28" t="s">
        <v>8</v>
      </c>
      <c r="D4" s="28" t="s">
        <v>11</v>
      </c>
      <c r="E4" s="28"/>
      <c r="F4" s="29">
        <v>45757</v>
      </c>
      <c r="G4" s="29">
        <v>46022</v>
      </c>
      <c r="H4" s="29" t="str">
        <f t="shared" ca="1" si="0"/>
        <v>D-44</v>
      </c>
      <c r="I4" s="30" t="s">
        <v>86</v>
      </c>
      <c r="J4" s="31" t="s">
        <v>59</v>
      </c>
      <c r="K4" s="31" t="s">
        <v>136</v>
      </c>
      <c r="L4" s="32" cm="1">
        <f t="array" ref="L4">_xlfn.IFS(OR(ISBLANK(F4), ISBLANK(G4), ISBLANK(K4)), "", K4="per quarter", (ROUNDUP(MONTH(G4)/3,0) - ROUNDUP(MONTH(F4)/3,0)) + (YEAR(G4) - YEAR(F4)) * 4 + 1, K4="per month", (MONTH(G4) - MONTH(F4)) + (YEAR(G4) - YEAR(F4)) * 12 + 1, K4="bimonthly", ROUNDUP(((MONTH(G4) - MONTH(F4)) + (YEAR(G4) - YEAR(F4)) * 12 + 1) / 2, 0), K4="per year", (YEAR(G4) - YEAR(F4)) + 1, K4="biyear", ROUNDUP(((YEAR(G4) - YEAR(F4)) + 1) / 2, 0), TRUE, "")</f>
        <v>1</v>
      </c>
      <c r="M4" s="33">
        <v>13.0049273</v>
      </c>
      <c r="N4" s="33">
        <v>55.604806600000003</v>
      </c>
    </row>
    <row r="5" spans="1:14" ht="15" customHeight="1">
      <c r="A5" s="26" t="s">
        <v>12</v>
      </c>
      <c r="B5" s="27">
        <v>103001</v>
      </c>
      <c r="C5" s="28" t="s">
        <v>8</v>
      </c>
      <c r="D5" s="28" t="s">
        <v>13</v>
      </c>
      <c r="E5" s="28"/>
      <c r="F5" s="29">
        <v>45764</v>
      </c>
      <c r="G5" s="29">
        <v>46022</v>
      </c>
      <c r="H5" s="29" t="str">
        <f t="shared" ca="1" si="0"/>
        <v>D-44</v>
      </c>
      <c r="I5" s="30" t="s">
        <v>60</v>
      </c>
      <c r="J5" s="31" t="s">
        <v>60</v>
      </c>
      <c r="K5" s="31" t="s">
        <v>136</v>
      </c>
      <c r="L5" s="32" cm="1">
        <f t="array" ref="L5">_xlfn.IFS(OR(ISBLANK(F5), ISBLANK(G5), ISBLANK(K5)), "", K5="per quarter", (ROUNDUP(MONTH(G5)/3,0) - ROUNDUP(MONTH(F5)/3,0)) + (YEAR(G5) - YEAR(F5)) * 4 + 1, K5="per month", (MONTH(G5) - MONTH(F5)) + (YEAR(G5) - YEAR(F5)) * 12 + 1, K5="bimonthly", ROUNDUP(((MONTH(G5) - MONTH(F5)) + (YEAR(G5) - YEAR(F5)) * 12 + 1) / 2, 0), K5="per year", (YEAR(G5) - YEAR(F5)) + 1, K5="biyear", ROUNDUP(((YEAR(G5) - YEAR(F5)) + 1) / 2, 0), TRUE, "")</f>
        <v>1</v>
      </c>
      <c r="M5" s="33">
        <v>2.3513765000000002</v>
      </c>
      <c r="N5" s="33">
        <v>48.857547500000003</v>
      </c>
    </row>
    <row r="6" spans="1:14" ht="15" customHeight="1">
      <c r="A6" s="26" t="s">
        <v>12</v>
      </c>
      <c r="B6" s="27">
        <v>103001</v>
      </c>
      <c r="C6" s="28" t="s">
        <v>8</v>
      </c>
      <c r="D6" s="28" t="s">
        <v>13</v>
      </c>
      <c r="E6" s="28"/>
      <c r="F6" s="29">
        <v>45764</v>
      </c>
      <c r="G6" s="29">
        <v>46022</v>
      </c>
      <c r="H6" s="29" t="str">
        <f t="shared" ca="1" si="0"/>
        <v>D-44</v>
      </c>
      <c r="I6" s="30" t="s">
        <v>70</v>
      </c>
      <c r="J6" s="31" t="s">
        <v>61</v>
      </c>
      <c r="K6" s="31" t="s">
        <v>136</v>
      </c>
      <c r="L6" s="32" cm="1">
        <f t="array" ref="L6">_xlfn.IFS(OR(ISBLANK(F6), ISBLANK(G6), ISBLANK(K6)), "", K6="per quarter", (ROUNDUP(MONTH(G6)/3,0) - ROUNDUP(MONTH(F6)/3,0)) + (YEAR(G6) - YEAR(F6)) * 4 + 1, K6="per month", (MONTH(G6) - MONTH(F6)) + (YEAR(G6) - YEAR(F6)) * 12 + 1, K6="bimonthly", ROUNDUP(((MONTH(G6) - MONTH(F6)) + (YEAR(G6) - YEAR(F6)) * 12 + 1) / 2, 0), K6="per year", (YEAR(G6) - YEAR(F6)) + 1, K6="biyear", ROUNDUP(((YEAR(G6) - YEAR(F6)) + 1) / 2, 0), TRUE, "")</f>
        <v>1</v>
      </c>
      <c r="M6" s="33">
        <v>2.3513765000000002</v>
      </c>
      <c r="N6" s="33">
        <v>48.857547500000003</v>
      </c>
    </row>
    <row r="7" spans="1:14" ht="15" customHeight="1">
      <c r="A7" s="26" t="s">
        <v>12</v>
      </c>
      <c r="B7" s="27">
        <v>103001</v>
      </c>
      <c r="C7" s="28" t="s">
        <v>8</v>
      </c>
      <c r="D7" s="28" t="s">
        <v>13</v>
      </c>
      <c r="E7" s="28"/>
      <c r="F7" s="29">
        <v>45764</v>
      </c>
      <c r="G7" s="29">
        <v>46022</v>
      </c>
      <c r="H7" s="29" t="str">
        <f t="shared" ca="1" si="0"/>
        <v>D-44</v>
      </c>
      <c r="I7" s="30" t="s">
        <v>87</v>
      </c>
      <c r="J7" s="31" t="s">
        <v>62</v>
      </c>
      <c r="K7" s="31" t="s">
        <v>136</v>
      </c>
      <c r="L7" s="32" cm="1">
        <f t="array" ref="L7">_xlfn.IFS(OR(ISBLANK(F7), ISBLANK(G7), ISBLANK(K7)), "", K7="per quarter", (ROUNDUP(MONTH(G7)/3,0) - ROUNDUP(MONTH(F7)/3,0)) + (YEAR(G7) - YEAR(F7)) * 4 + 1, K7="per month", (MONTH(G7) - MONTH(F7)) + (YEAR(G7) - YEAR(F7)) * 12 + 1, K7="bimonthly", ROUNDUP(((MONTH(G7) - MONTH(F7)) + (YEAR(G7) - YEAR(F7)) * 12 + 1) / 2, 0), K7="per year", (YEAR(G7) - YEAR(F7)) + 1, K7="biyear", ROUNDUP(((YEAR(G7) - YEAR(F7)) + 1) / 2, 0), TRUE, "")</f>
        <v>1</v>
      </c>
      <c r="M7" s="33">
        <v>2.3513765000000002</v>
      </c>
      <c r="N7" s="33">
        <v>48.857547500000003</v>
      </c>
    </row>
    <row r="8" spans="1:14" ht="15" customHeight="1">
      <c r="A8" s="26" t="s">
        <v>14</v>
      </c>
      <c r="B8" s="27">
        <v>103002</v>
      </c>
      <c r="C8" s="28" t="s">
        <v>8</v>
      </c>
      <c r="D8" s="28" t="s">
        <v>13</v>
      </c>
      <c r="E8" s="28"/>
      <c r="F8" s="34"/>
      <c r="G8" s="34"/>
      <c r="H8" s="35" t="str">
        <f t="shared" ca="1" si="0"/>
        <v/>
      </c>
      <c r="I8" s="36" t="s">
        <v>63</v>
      </c>
      <c r="J8" s="31" t="s">
        <v>63</v>
      </c>
      <c r="K8" s="31" t="s">
        <v>136</v>
      </c>
      <c r="L8" s="32" t="str" cm="1">
        <f t="array" ref="L8">_xlfn.IFS(OR(ISBLANK(F8), ISBLANK(G8), ISBLANK(K8)), "", K8="per quarter", (ROUNDUP(MONTH(G8)/3,0) - ROUNDUP(MONTH(F8)/3,0)) + (YEAR(G8) - YEAR(F8)) * 4 + 1, K8="per month", (MONTH(G8) - MONTH(F8)) + (YEAR(G8) - YEAR(F8)) * 12 + 1, K8="bimonthly", ROUNDUP(((MONTH(G8) - MONTH(F8)) + (YEAR(G8) - YEAR(F8)) * 12 + 1) / 2, 0), K8="per year", (YEAR(G8) - YEAR(F8)) + 1, K8="biyear", ROUNDUP(((YEAR(G8) - YEAR(F8)) + 1) / 2, 0), TRUE, "")</f>
        <v/>
      </c>
      <c r="M8" s="33">
        <v>2.3011466999999999</v>
      </c>
      <c r="N8" s="33">
        <v>48.8572992</v>
      </c>
    </row>
    <row r="9" spans="1:14" ht="15" customHeight="1">
      <c r="A9" s="26" t="s">
        <v>14</v>
      </c>
      <c r="B9" s="27">
        <v>103002</v>
      </c>
      <c r="C9" s="28" t="s">
        <v>8</v>
      </c>
      <c r="D9" s="28" t="s">
        <v>13</v>
      </c>
      <c r="E9" s="28"/>
      <c r="F9" s="34"/>
      <c r="G9" s="34"/>
      <c r="H9" s="35" t="str">
        <f t="shared" ca="1" si="0"/>
        <v/>
      </c>
      <c r="I9" s="36" t="s">
        <v>86</v>
      </c>
      <c r="J9" s="31" t="s">
        <v>64</v>
      </c>
      <c r="K9" s="31" t="s">
        <v>136</v>
      </c>
      <c r="L9" s="32" t="str" cm="1">
        <f t="array" ref="L9">_xlfn.IFS(OR(ISBLANK(F9), ISBLANK(G9), ISBLANK(K9)), "", K9="per quarter", (ROUNDUP(MONTH(G9)/3,0) - ROUNDUP(MONTH(F9)/3,0)) + (YEAR(G9) - YEAR(F9)) * 4 + 1, K9="per month", (MONTH(G9) - MONTH(F9)) + (YEAR(G9) - YEAR(F9)) * 12 + 1, K9="bimonthly", ROUNDUP(((MONTH(G9) - MONTH(F9)) + (YEAR(G9) - YEAR(F9)) * 12 + 1) / 2, 0), K9="per year", (YEAR(G9) - YEAR(F9)) + 1, K9="biyear", ROUNDUP(((YEAR(G9) - YEAR(F9)) + 1) / 2, 0), TRUE, "")</f>
        <v/>
      </c>
      <c r="M9" s="33">
        <v>2.3011466999999999</v>
      </c>
      <c r="N9" s="33">
        <v>48.8572992</v>
      </c>
    </row>
    <row r="10" spans="1:14" ht="15" customHeight="1">
      <c r="A10" s="26" t="s">
        <v>14</v>
      </c>
      <c r="B10" s="27">
        <v>103002</v>
      </c>
      <c r="C10" s="28" t="s">
        <v>8</v>
      </c>
      <c r="D10" s="28" t="s">
        <v>13</v>
      </c>
      <c r="E10" s="28"/>
      <c r="F10" s="34"/>
      <c r="G10" s="34"/>
      <c r="H10" s="35" t="str">
        <f t="shared" ca="1" si="0"/>
        <v/>
      </c>
      <c r="I10" s="36" t="s">
        <v>88</v>
      </c>
      <c r="J10" s="31" t="s">
        <v>65</v>
      </c>
      <c r="K10" s="31" t="s">
        <v>136</v>
      </c>
      <c r="L10" s="32" t="str" cm="1">
        <f t="array" ref="L10">_xlfn.IFS(OR(ISBLANK(F10), ISBLANK(G10), ISBLANK(K10)), "", K10="per quarter", (ROUNDUP(MONTH(G10)/3,0) - ROUNDUP(MONTH(F10)/3,0)) + (YEAR(G10) - YEAR(F10)) * 4 + 1, K10="per month", (MONTH(G10) - MONTH(F10)) + (YEAR(G10) - YEAR(F10)) * 12 + 1, K10="bimonthly", ROUNDUP(((MONTH(G10) - MONTH(F10)) + (YEAR(G10) - YEAR(F10)) * 12 + 1) / 2, 0), K10="per year", (YEAR(G10) - YEAR(F10)) + 1, K10="biyear", ROUNDUP(((YEAR(G10) - YEAR(F10)) + 1) / 2, 0), TRUE, "")</f>
        <v/>
      </c>
      <c r="M10" s="33">
        <v>2.3011466999999999</v>
      </c>
      <c r="N10" s="33">
        <v>48.8572992</v>
      </c>
    </row>
    <row r="11" spans="1:14" ht="15" customHeight="1">
      <c r="A11" s="26" t="s">
        <v>14</v>
      </c>
      <c r="B11" s="27">
        <v>103002</v>
      </c>
      <c r="C11" s="28" t="s">
        <v>8</v>
      </c>
      <c r="D11" s="28" t="s">
        <v>13</v>
      </c>
      <c r="E11" s="28"/>
      <c r="F11" s="34"/>
      <c r="G11" s="34"/>
      <c r="H11" s="35" t="str">
        <f t="shared" ca="1" si="0"/>
        <v/>
      </c>
      <c r="I11" s="36" t="s">
        <v>70</v>
      </c>
      <c r="J11" s="31" t="s">
        <v>66</v>
      </c>
      <c r="K11" s="31" t="s">
        <v>136</v>
      </c>
      <c r="L11" s="32" t="str" cm="1">
        <f t="array" ref="L11">_xlfn.IFS(OR(ISBLANK(F11), ISBLANK(G11), ISBLANK(K11)), "", K11="per quarter", (ROUNDUP(MONTH(G11)/3,0) - ROUNDUP(MONTH(F11)/3,0)) + (YEAR(G11) - YEAR(F11)) * 4 + 1, K11="per month", (MONTH(G11) - MONTH(F11)) + (YEAR(G11) - YEAR(F11)) * 12 + 1, K11="bimonthly", ROUNDUP(((MONTH(G11) - MONTH(F11)) + (YEAR(G11) - YEAR(F11)) * 12 + 1) / 2, 0), K11="per year", (YEAR(G11) - YEAR(F11)) + 1, K11="biyear", ROUNDUP(((YEAR(G11) - YEAR(F11)) + 1) / 2, 0), TRUE, "")</f>
        <v/>
      </c>
      <c r="M11" s="33">
        <v>2.3011466999999999</v>
      </c>
      <c r="N11" s="33">
        <v>48.8572992</v>
      </c>
    </row>
    <row r="12" spans="1:14" ht="15" customHeight="1">
      <c r="A12" s="26" t="s">
        <v>15</v>
      </c>
      <c r="B12" s="27">
        <v>103003</v>
      </c>
      <c r="C12" s="28" t="s">
        <v>8</v>
      </c>
      <c r="D12" s="28" t="s">
        <v>13</v>
      </c>
      <c r="E12" s="28"/>
      <c r="F12" s="34"/>
      <c r="G12" s="34"/>
      <c r="H12" s="35" t="str">
        <f t="shared" ca="1" si="0"/>
        <v/>
      </c>
      <c r="I12" s="36" t="s">
        <v>63</v>
      </c>
      <c r="J12" s="31" t="s">
        <v>63</v>
      </c>
      <c r="K12" s="31" t="s">
        <v>136</v>
      </c>
      <c r="L12" s="32" t="str" cm="1">
        <f t="array" ref="L12">_xlfn.IFS(OR(ISBLANK(F12), ISBLANK(G12), ISBLANK(K12)), "", K12="per quarter", (ROUNDUP(MONTH(G12)/3,0) - ROUNDUP(MONTH(F12)/3,0)) + (YEAR(G12) - YEAR(F12)) * 4 + 1, K12="per month", (MONTH(G12) - MONTH(F12)) + (YEAR(G12) - YEAR(F12)) * 12 + 1, K12="bimonthly", ROUNDUP(((MONTH(G12) - MONTH(F12)) + (YEAR(G12) - YEAR(F12)) * 12 + 1) / 2, 0), K12="per year", (YEAR(G12) - YEAR(F12)) + 1, K12="biyear", ROUNDUP(((YEAR(G12) - YEAR(F12)) + 1) / 2, 0), TRUE, "")</f>
        <v/>
      </c>
      <c r="M12" s="33">
        <v>4.9800614000000003</v>
      </c>
      <c r="N12" s="33">
        <v>43.403448500000003</v>
      </c>
    </row>
    <row r="13" spans="1:14" ht="15" customHeight="1">
      <c r="A13" s="26" t="s">
        <v>15</v>
      </c>
      <c r="B13" s="27">
        <v>103003</v>
      </c>
      <c r="C13" s="28" t="s">
        <v>8</v>
      </c>
      <c r="D13" s="28" t="s">
        <v>13</v>
      </c>
      <c r="E13" s="28"/>
      <c r="F13" s="34"/>
      <c r="G13" s="34"/>
      <c r="H13" s="35" t="str">
        <f t="shared" ca="1" si="0"/>
        <v/>
      </c>
      <c r="I13" s="36" t="s">
        <v>86</v>
      </c>
      <c r="J13" s="31" t="s">
        <v>64</v>
      </c>
      <c r="K13" s="31" t="s">
        <v>136</v>
      </c>
      <c r="L13" s="32" t="str" cm="1">
        <f t="array" ref="L13">_xlfn.IFS(OR(ISBLANK(F13), ISBLANK(G13), ISBLANK(K13)), "", K13="per quarter", (ROUNDUP(MONTH(G13)/3,0) - ROUNDUP(MONTH(F13)/3,0)) + (YEAR(G13) - YEAR(F13)) * 4 + 1, K13="per month", (MONTH(G13) - MONTH(F13)) + (YEAR(G13) - YEAR(F13)) * 12 + 1, K13="bimonthly", ROUNDUP(((MONTH(G13) - MONTH(F13)) + (YEAR(G13) - YEAR(F13)) * 12 + 1) / 2, 0), K13="per year", (YEAR(G13) - YEAR(F13)) + 1, K13="biyear", ROUNDUP(((YEAR(G13) - YEAR(F13)) + 1) / 2, 0), TRUE, "")</f>
        <v/>
      </c>
      <c r="M13" s="33">
        <v>4.9800614000000003</v>
      </c>
      <c r="N13" s="33">
        <v>43.403448500000003</v>
      </c>
    </row>
    <row r="14" spans="1:14" ht="15" customHeight="1">
      <c r="A14" s="26" t="s">
        <v>15</v>
      </c>
      <c r="B14" s="27">
        <v>103003</v>
      </c>
      <c r="C14" s="28" t="s">
        <v>8</v>
      </c>
      <c r="D14" s="28" t="s">
        <v>13</v>
      </c>
      <c r="E14" s="28"/>
      <c r="F14" s="34"/>
      <c r="G14" s="34"/>
      <c r="H14" s="35" t="str">
        <f t="shared" ca="1" si="0"/>
        <v/>
      </c>
      <c r="I14" s="36" t="s">
        <v>88</v>
      </c>
      <c r="J14" s="31" t="s">
        <v>65</v>
      </c>
      <c r="K14" s="31" t="s">
        <v>136</v>
      </c>
      <c r="L14" s="32" t="str" cm="1">
        <f t="array" ref="L14">_xlfn.IFS(OR(ISBLANK(F14), ISBLANK(G14), ISBLANK(K14)), "", K14="per quarter", (ROUNDUP(MONTH(G14)/3,0) - ROUNDUP(MONTH(F14)/3,0)) + (YEAR(G14) - YEAR(F14)) * 4 + 1, K14="per month", (MONTH(G14) - MONTH(F14)) + (YEAR(G14) - YEAR(F14)) * 12 + 1, K14="bimonthly", ROUNDUP(((MONTH(G14) - MONTH(F14)) + (YEAR(G14) - YEAR(F14)) * 12 + 1) / 2, 0), K14="per year", (YEAR(G14) - YEAR(F14)) + 1, K14="biyear", ROUNDUP(((YEAR(G14) - YEAR(F14)) + 1) / 2, 0), TRUE, "")</f>
        <v/>
      </c>
      <c r="M14" s="33">
        <v>4.9800614000000003</v>
      </c>
      <c r="N14" s="33">
        <v>43.403448500000003</v>
      </c>
    </row>
    <row r="15" spans="1:14" ht="15" customHeight="1">
      <c r="A15" s="26" t="s">
        <v>15</v>
      </c>
      <c r="B15" s="27">
        <v>103003</v>
      </c>
      <c r="C15" s="28" t="s">
        <v>8</v>
      </c>
      <c r="D15" s="28" t="s">
        <v>13</v>
      </c>
      <c r="E15" s="28"/>
      <c r="F15" s="34"/>
      <c r="G15" s="34"/>
      <c r="H15" s="35" t="str">
        <f t="shared" ca="1" si="0"/>
        <v/>
      </c>
      <c r="I15" s="36" t="s">
        <v>70</v>
      </c>
      <c r="J15" s="31" t="s">
        <v>66</v>
      </c>
      <c r="K15" s="31" t="s">
        <v>136</v>
      </c>
      <c r="L15" s="32" t="str" cm="1">
        <f t="array" ref="L15">_xlfn.IFS(OR(ISBLANK(F15), ISBLANK(G15), ISBLANK(K15)), "", K15="per quarter", (ROUNDUP(MONTH(G15)/3,0) - ROUNDUP(MONTH(F15)/3,0)) + (YEAR(G15) - YEAR(F15)) * 4 + 1, K15="per month", (MONTH(G15) - MONTH(F15)) + (YEAR(G15) - YEAR(F15)) * 12 + 1, K15="bimonthly", ROUNDUP(((MONTH(G15) - MONTH(F15)) + (YEAR(G15) - YEAR(F15)) * 12 + 1) / 2, 0), K15="per year", (YEAR(G15) - YEAR(F15)) + 1, K15="biyear", ROUNDUP(((YEAR(G15) - YEAR(F15)) + 1) / 2, 0), TRUE, "")</f>
        <v/>
      </c>
      <c r="M15" s="33">
        <v>4.9800614000000003</v>
      </c>
      <c r="N15" s="33">
        <v>43.403448500000003</v>
      </c>
    </row>
    <row r="16" spans="1:14" ht="15" customHeight="1">
      <c r="A16" s="26" t="s">
        <v>16</v>
      </c>
      <c r="B16" s="27">
        <v>103004</v>
      </c>
      <c r="C16" s="28" t="s">
        <v>8</v>
      </c>
      <c r="D16" s="28" t="s">
        <v>13</v>
      </c>
      <c r="E16" s="28"/>
      <c r="F16" s="29">
        <v>45757</v>
      </c>
      <c r="G16" s="29">
        <v>46022</v>
      </c>
      <c r="H16" s="29" t="str">
        <f t="shared" ca="1" si="0"/>
        <v>D-44</v>
      </c>
      <c r="I16" s="30" t="s">
        <v>86</v>
      </c>
      <c r="J16" s="31" t="s">
        <v>67</v>
      </c>
      <c r="K16" s="31" t="s">
        <v>135</v>
      </c>
      <c r="L16" s="32" cm="1">
        <f t="array" ref="L16">_xlfn.IFS(OR(ISBLANK(F16), ISBLANK(G16), ISBLANK(K16)), "", K16="per quarter", (ROUNDUP(MONTH(G16)/3,0) - ROUNDUP(MONTH(F16)/3,0)) + (YEAR(G16) - YEAR(F16)) * 4 + 1, K16="per month", (MONTH(G16) - MONTH(F16)) + (YEAR(G16) - YEAR(F16)) * 12 + 1, K16="bimonthly", ROUNDUP(((MONTH(G16) - MONTH(F16)) + (YEAR(G16) - YEAR(F16)) * 12 + 1) / 2, 0), K16="per year", (YEAR(G16) - YEAR(F16)) + 1, K16="biyear", ROUNDUP(((YEAR(G16) - YEAR(F16)) + 1) / 2, 0), TRUE, "")</f>
        <v>3</v>
      </c>
      <c r="M16" s="33">
        <v>3.0395183000000001</v>
      </c>
      <c r="N16" s="33">
        <v>50.623741099999997</v>
      </c>
    </row>
    <row r="17" spans="1:14" ht="15" customHeight="1">
      <c r="A17" s="26" t="s">
        <v>16</v>
      </c>
      <c r="B17" s="27">
        <v>103004</v>
      </c>
      <c r="C17" s="28" t="s">
        <v>8</v>
      </c>
      <c r="D17" s="28" t="s">
        <v>13</v>
      </c>
      <c r="E17" s="28"/>
      <c r="F17" s="29">
        <v>45757</v>
      </c>
      <c r="G17" s="29">
        <v>46022</v>
      </c>
      <c r="H17" s="29" t="str">
        <f t="shared" ca="1" si="0"/>
        <v>D-44</v>
      </c>
      <c r="I17" s="30" t="s">
        <v>70</v>
      </c>
      <c r="J17" s="31" t="s">
        <v>68</v>
      </c>
      <c r="K17" s="31" t="s">
        <v>136</v>
      </c>
      <c r="L17" s="32" cm="1">
        <f t="array" ref="L17">_xlfn.IFS(OR(ISBLANK(F17), ISBLANK(G17), ISBLANK(K17)), "", K17="per quarter", (ROUNDUP(MONTH(G17)/3,0) - ROUNDUP(MONTH(F17)/3,0)) + (YEAR(G17) - YEAR(F17)) * 4 + 1, K17="per month", (MONTH(G17) - MONTH(F17)) + (YEAR(G17) - YEAR(F17)) * 12 + 1, K17="bimonthly", ROUNDUP(((MONTH(G17) - MONTH(F17)) + (YEAR(G17) - YEAR(F17)) * 12 + 1) / 2, 0), K17="per year", (YEAR(G17) - YEAR(F17)) + 1, K17="biyear", ROUNDUP(((YEAR(G17) - YEAR(F17)) + 1) / 2, 0), TRUE, "")</f>
        <v>1</v>
      </c>
      <c r="M17" s="33">
        <v>3.0395183000000001</v>
      </c>
      <c r="N17" s="33">
        <v>50.623741099999997</v>
      </c>
    </row>
    <row r="18" spans="1:14" ht="15" customHeight="1">
      <c r="A18" s="26" t="s">
        <v>16</v>
      </c>
      <c r="B18" s="27">
        <v>103004</v>
      </c>
      <c r="C18" s="28" t="s">
        <v>8</v>
      </c>
      <c r="D18" s="28" t="s">
        <v>13</v>
      </c>
      <c r="E18" s="28"/>
      <c r="F18" s="29">
        <v>45757</v>
      </c>
      <c r="G18" s="29">
        <v>46022</v>
      </c>
      <c r="H18" s="29" t="str">
        <f t="shared" ca="1" si="0"/>
        <v>D-44</v>
      </c>
      <c r="I18" s="30" t="s">
        <v>60</v>
      </c>
      <c r="J18" s="31" t="s">
        <v>60</v>
      </c>
      <c r="K18" s="31" t="s">
        <v>136</v>
      </c>
      <c r="L18" s="32" cm="1">
        <f t="array" ref="L18">_xlfn.IFS(OR(ISBLANK(F18), ISBLANK(G18), ISBLANK(K18)), "", K18="per quarter", (ROUNDUP(MONTH(G18)/3,0) - ROUNDUP(MONTH(F18)/3,0)) + (YEAR(G18) - YEAR(F18)) * 4 + 1, K18="per month", (MONTH(G18) - MONTH(F18)) + (YEAR(G18) - YEAR(F18)) * 12 + 1, K18="bimonthly", ROUNDUP(((MONTH(G18) - MONTH(F18)) + (YEAR(G18) - YEAR(F18)) * 12 + 1) / 2, 0), K18="per year", (YEAR(G18) - YEAR(F18)) + 1, K18="biyear", ROUNDUP(((YEAR(G18) - YEAR(F18)) + 1) / 2, 0), TRUE, "")</f>
        <v>1</v>
      </c>
      <c r="M18" s="33">
        <v>3.0395183000000001</v>
      </c>
      <c r="N18" s="33">
        <v>50.623741099999997</v>
      </c>
    </row>
    <row r="19" spans="1:14" ht="15" customHeight="1">
      <c r="A19" s="26" t="s">
        <v>16</v>
      </c>
      <c r="B19" s="27">
        <v>103004</v>
      </c>
      <c r="C19" s="28" t="s">
        <v>8</v>
      </c>
      <c r="D19" s="28" t="s">
        <v>13</v>
      </c>
      <c r="E19" s="28"/>
      <c r="F19" s="29">
        <v>45757</v>
      </c>
      <c r="G19" s="29">
        <v>46022</v>
      </c>
      <c r="H19" s="29" t="str">
        <f t="shared" ca="1" si="0"/>
        <v>D-44</v>
      </c>
      <c r="I19" s="30" t="s">
        <v>87</v>
      </c>
      <c r="J19" s="31" t="s">
        <v>69</v>
      </c>
      <c r="K19" s="31" t="s">
        <v>136</v>
      </c>
      <c r="L19" s="32" cm="1">
        <f t="array" ref="L19">_xlfn.IFS(OR(ISBLANK(F19), ISBLANK(G19), ISBLANK(K19)), "", K19="per quarter", (ROUNDUP(MONTH(G19)/3,0) - ROUNDUP(MONTH(F19)/3,0)) + (YEAR(G19) - YEAR(F19)) * 4 + 1, K19="per month", (MONTH(G19) - MONTH(F19)) + (YEAR(G19) - YEAR(F19)) * 12 + 1, K19="bimonthly", ROUNDUP(((MONTH(G19) - MONTH(F19)) + (YEAR(G19) - YEAR(F19)) * 12 + 1) / 2, 0), K19="per year", (YEAR(G19) - YEAR(F19)) + 1, K19="biyear", ROUNDUP(((YEAR(G19) - YEAR(F19)) + 1) / 2, 0), TRUE, "")</f>
        <v>1</v>
      </c>
      <c r="M19" s="33">
        <v>3.0395183000000001</v>
      </c>
      <c r="N19" s="33">
        <v>50.623741099999997</v>
      </c>
    </row>
    <row r="20" spans="1:14" ht="15" customHeight="1">
      <c r="A20" s="26" t="s">
        <v>17</v>
      </c>
      <c r="B20" s="27">
        <v>104001</v>
      </c>
      <c r="C20" s="28" t="s">
        <v>8</v>
      </c>
      <c r="D20" s="28" t="s">
        <v>18</v>
      </c>
      <c r="E20" s="28"/>
      <c r="F20" s="29">
        <v>45839</v>
      </c>
      <c r="G20" s="29">
        <v>46204</v>
      </c>
      <c r="H20" s="29" t="str">
        <f t="shared" ca="1" si="0"/>
        <v>D-226</v>
      </c>
      <c r="I20" s="30" t="s">
        <v>86</v>
      </c>
      <c r="J20" s="31" t="s">
        <v>67</v>
      </c>
      <c r="K20" s="31" t="s">
        <v>136</v>
      </c>
      <c r="L20" s="32" cm="1">
        <f t="array" ref="L20">_xlfn.IFS(OR(ISBLANK(F20), ISBLANK(G20), ISBLANK(K20)), "", K20="per quarter", (ROUNDUP(MONTH(G20)/3,0) - ROUNDUP(MONTH(F20)/3,0)) + (YEAR(G20) - YEAR(F20)) * 4 + 1, K20="per month", (MONTH(G20) - MONTH(F20)) + (YEAR(G20) - YEAR(F20)) * 12 + 1, K20="bimonthly", ROUNDUP(((MONTH(G20) - MONTH(F20)) + (YEAR(G20) - YEAR(F20)) * 12 + 1) / 2, 0), K20="per year", (YEAR(G20) - YEAR(F20)) + 1, K20="biyear", ROUNDUP(((YEAR(G20) - YEAR(F20)) + 1) / 2, 0), TRUE, "")</f>
        <v>2</v>
      </c>
      <c r="M20" s="33">
        <v>8.4041958999999995</v>
      </c>
      <c r="N20" s="33">
        <v>49.517972999999998</v>
      </c>
    </row>
    <row r="21" spans="1:14" ht="15" customHeight="1">
      <c r="A21" s="26" t="s">
        <v>17</v>
      </c>
      <c r="B21" s="27">
        <v>104001</v>
      </c>
      <c r="C21" s="28" t="s">
        <v>8</v>
      </c>
      <c r="D21" s="28" t="s">
        <v>18</v>
      </c>
      <c r="E21" s="28"/>
      <c r="F21" s="29">
        <v>45839</v>
      </c>
      <c r="G21" s="29">
        <v>46204</v>
      </c>
      <c r="H21" s="29" t="str">
        <f t="shared" ca="1" si="0"/>
        <v>D-226</v>
      </c>
      <c r="I21" s="30" t="s">
        <v>70</v>
      </c>
      <c r="J21" s="31" t="s">
        <v>70</v>
      </c>
      <c r="K21" s="31" t="s">
        <v>136</v>
      </c>
      <c r="L21" s="32" cm="1">
        <f t="array" ref="L21">_xlfn.IFS(OR(ISBLANK(F21), ISBLANK(G21), ISBLANK(K21)), "", K21="per quarter", (ROUNDUP(MONTH(G21)/3,0) - ROUNDUP(MONTH(F21)/3,0)) + (YEAR(G21) - YEAR(F21)) * 4 + 1, K21="per month", (MONTH(G21) - MONTH(F21)) + (YEAR(G21) - YEAR(F21)) * 12 + 1, K21="bimonthly", ROUNDUP(((MONTH(G21) - MONTH(F21)) + (YEAR(G21) - YEAR(F21)) * 12 + 1) / 2, 0), K21="per year", (YEAR(G21) - YEAR(F21)) + 1, K21="biyear", ROUNDUP(((YEAR(G21) - YEAR(F21)) + 1) / 2, 0), TRUE, "")</f>
        <v>2</v>
      </c>
      <c r="M21" s="33">
        <v>8.4041958999999995</v>
      </c>
      <c r="N21" s="33">
        <v>49.517972999999998</v>
      </c>
    </row>
    <row r="22" spans="1:14" ht="15" customHeight="1">
      <c r="A22" s="26" t="s">
        <v>17</v>
      </c>
      <c r="B22" s="27">
        <v>104001</v>
      </c>
      <c r="C22" s="28" t="s">
        <v>8</v>
      </c>
      <c r="D22" s="28" t="s">
        <v>18</v>
      </c>
      <c r="E22" s="28"/>
      <c r="F22" s="29">
        <v>45839</v>
      </c>
      <c r="G22" s="29">
        <v>46204</v>
      </c>
      <c r="H22" s="29" t="str">
        <f t="shared" ca="1" si="0"/>
        <v>D-226</v>
      </c>
      <c r="I22" s="30" t="s">
        <v>87</v>
      </c>
      <c r="J22" s="31" t="s">
        <v>71</v>
      </c>
      <c r="K22" s="31" t="s">
        <v>136</v>
      </c>
      <c r="L22" s="32" cm="1">
        <f t="array" ref="L22">_xlfn.IFS(OR(ISBLANK(F22), ISBLANK(G22), ISBLANK(K22)), "", K22="per quarter", (ROUNDUP(MONTH(G22)/3,0) - ROUNDUP(MONTH(F22)/3,0)) + (YEAR(G22) - YEAR(F22)) * 4 + 1, K22="per month", (MONTH(G22) - MONTH(F22)) + (YEAR(G22) - YEAR(F22)) * 12 + 1, K22="bimonthly", ROUNDUP(((MONTH(G22) - MONTH(F22)) + (YEAR(G22) - YEAR(F22)) * 12 + 1) / 2, 0), K22="per year", (YEAR(G22) - YEAR(F22)) + 1, K22="biyear", ROUNDUP(((YEAR(G22) - YEAR(F22)) + 1) / 2, 0), TRUE, "")</f>
        <v>2</v>
      </c>
      <c r="M22" s="33">
        <v>8.4041958999999995</v>
      </c>
      <c r="N22" s="33">
        <v>49.517972999999998</v>
      </c>
    </row>
    <row r="23" spans="1:14" ht="15" customHeight="1">
      <c r="A23" s="26" t="s">
        <v>19</v>
      </c>
      <c r="B23" s="27">
        <v>104002</v>
      </c>
      <c r="C23" s="28" t="s">
        <v>8</v>
      </c>
      <c r="D23" s="28" t="s">
        <v>18</v>
      </c>
      <c r="E23" s="28"/>
      <c r="F23" s="34"/>
      <c r="G23" s="34"/>
      <c r="H23" s="35" t="str">
        <f t="shared" ca="1" si="0"/>
        <v/>
      </c>
      <c r="I23" s="36" t="s">
        <v>63</v>
      </c>
      <c r="J23" s="31" t="s">
        <v>63</v>
      </c>
      <c r="K23" s="31" t="s">
        <v>136</v>
      </c>
      <c r="L23" s="32" t="str" cm="1">
        <f t="array" ref="L23">_xlfn.IFS(OR(ISBLANK(F23), ISBLANK(G23), ISBLANK(K23)), "", K23="per quarter", (ROUNDUP(MONTH(G23)/3,0) - ROUNDUP(MONTH(F23)/3,0)) + (YEAR(G23) - YEAR(F23)) * 4 + 1, K23="per month", (MONTH(G23) - MONTH(F23)) + (YEAR(G23) - YEAR(F23)) * 12 + 1, K23="bimonthly", ROUNDUP(((MONTH(G23) - MONTH(F23)) + (YEAR(G23) - YEAR(F23)) * 12 + 1) / 2, 0), K23="per year", (YEAR(G23) - YEAR(F23)) + 1, K23="biyear", ROUNDUP(((YEAR(G23) - YEAR(F23)) + 1) / 2, 0), TRUE, "")</f>
        <v/>
      </c>
      <c r="M23" s="33">
        <v>9.0599564000000008</v>
      </c>
      <c r="N23" s="33">
        <v>48.509596999999999</v>
      </c>
    </row>
    <row r="24" spans="1:14" ht="15" customHeight="1">
      <c r="A24" s="26" t="s">
        <v>19</v>
      </c>
      <c r="B24" s="27">
        <v>104002</v>
      </c>
      <c r="C24" s="28" t="s">
        <v>8</v>
      </c>
      <c r="D24" s="28" t="s">
        <v>18</v>
      </c>
      <c r="E24" s="28"/>
      <c r="F24" s="34"/>
      <c r="G24" s="34"/>
      <c r="H24" s="35" t="str">
        <f t="shared" ca="1" si="0"/>
        <v/>
      </c>
      <c r="I24" s="27" t="s">
        <v>86</v>
      </c>
      <c r="J24" s="31" t="s">
        <v>64</v>
      </c>
      <c r="K24" s="31" t="s">
        <v>136</v>
      </c>
      <c r="L24" s="32" t="str" cm="1">
        <f t="array" ref="L24">_xlfn.IFS(OR(ISBLANK(F24), ISBLANK(G24), ISBLANK(K24)), "", K24="per quarter", (ROUNDUP(MONTH(G24)/3,0) - ROUNDUP(MONTH(F24)/3,0)) + (YEAR(G24) - YEAR(F24)) * 4 + 1, K24="per month", (MONTH(G24) - MONTH(F24)) + (YEAR(G24) - YEAR(F24)) * 12 + 1, K24="bimonthly", ROUNDUP(((MONTH(G24) - MONTH(F24)) + (YEAR(G24) - YEAR(F24)) * 12 + 1) / 2, 0), K24="per year", (YEAR(G24) - YEAR(F24)) + 1, K24="biyear", ROUNDUP(((YEAR(G24) - YEAR(F24)) + 1) / 2, 0), TRUE, "")</f>
        <v/>
      </c>
      <c r="M24" s="33">
        <v>9.0599564000000008</v>
      </c>
      <c r="N24" s="33">
        <v>48.509596999999999</v>
      </c>
    </row>
    <row r="25" spans="1:14" ht="15" customHeight="1">
      <c r="A25" s="26" t="s">
        <v>19</v>
      </c>
      <c r="B25" s="27">
        <v>104002</v>
      </c>
      <c r="C25" s="28" t="s">
        <v>8</v>
      </c>
      <c r="D25" s="28" t="s">
        <v>18</v>
      </c>
      <c r="E25" s="28"/>
      <c r="F25" s="34"/>
      <c r="G25" s="34"/>
      <c r="H25" s="35" t="str">
        <f t="shared" ca="1" si="0"/>
        <v/>
      </c>
      <c r="I25" s="27" t="s">
        <v>88</v>
      </c>
      <c r="J25" s="31" t="s">
        <v>65</v>
      </c>
      <c r="K25" s="31" t="s">
        <v>136</v>
      </c>
      <c r="L25" s="32" t="str" cm="1">
        <f t="array" ref="L25">_xlfn.IFS(OR(ISBLANK(F25), ISBLANK(G25), ISBLANK(K25)), "", K25="per quarter", (ROUNDUP(MONTH(G25)/3,0) - ROUNDUP(MONTH(F25)/3,0)) + (YEAR(G25) - YEAR(F25)) * 4 + 1, K25="per month", (MONTH(G25) - MONTH(F25)) + (YEAR(G25) - YEAR(F25)) * 12 + 1, K25="bimonthly", ROUNDUP(((MONTH(G25) - MONTH(F25)) + (YEAR(G25) - YEAR(F25)) * 12 + 1) / 2, 0), K25="per year", (YEAR(G25) - YEAR(F25)) + 1, K25="biyear", ROUNDUP(((YEAR(G25) - YEAR(F25)) + 1) / 2, 0), TRUE, "")</f>
        <v/>
      </c>
      <c r="M25" s="33">
        <v>9.0599564000000008</v>
      </c>
      <c r="N25" s="33">
        <v>48.509596999999999</v>
      </c>
    </row>
    <row r="26" spans="1:14" ht="15" customHeight="1">
      <c r="A26" s="26" t="s">
        <v>19</v>
      </c>
      <c r="B26" s="27">
        <v>104002</v>
      </c>
      <c r="C26" s="28" t="s">
        <v>8</v>
      </c>
      <c r="D26" s="28" t="s">
        <v>18</v>
      </c>
      <c r="E26" s="28"/>
      <c r="F26" s="34"/>
      <c r="G26" s="34"/>
      <c r="H26" s="35" t="str">
        <f t="shared" ca="1" si="0"/>
        <v/>
      </c>
      <c r="I26" s="27" t="s">
        <v>70</v>
      </c>
      <c r="J26" s="31" t="s">
        <v>66</v>
      </c>
      <c r="K26" s="31" t="s">
        <v>136</v>
      </c>
      <c r="L26" s="32" t="str" cm="1">
        <f t="array" ref="L26">_xlfn.IFS(OR(ISBLANK(F26), ISBLANK(G26), ISBLANK(K26)), "", K26="per quarter", (ROUNDUP(MONTH(G26)/3,0) - ROUNDUP(MONTH(F26)/3,0)) + (YEAR(G26) - YEAR(F26)) * 4 + 1, K26="per month", (MONTH(G26) - MONTH(F26)) + (YEAR(G26) - YEAR(F26)) * 12 + 1, K26="bimonthly", ROUNDUP(((MONTH(G26) - MONTH(F26)) + (YEAR(G26) - YEAR(F26)) * 12 + 1) / 2, 0), K26="per year", (YEAR(G26) - YEAR(F26)) + 1, K26="biyear", ROUNDUP(((YEAR(G26) - YEAR(F26)) + 1) / 2, 0), TRUE, "")</f>
        <v/>
      </c>
      <c r="M26" s="33">
        <v>9.0599564000000008</v>
      </c>
      <c r="N26" s="33">
        <v>48.509596999999999</v>
      </c>
    </row>
    <row r="27" spans="1:14" ht="15" customHeight="1">
      <c r="A27" s="26" t="s">
        <v>20</v>
      </c>
      <c r="B27" s="27">
        <v>104003</v>
      </c>
      <c r="C27" s="28" t="s">
        <v>8</v>
      </c>
      <c r="D27" s="28" t="s">
        <v>18</v>
      </c>
      <c r="E27" s="28"/>
      <c r="F27" s="34"/>
      <c r="G27" s="34"/>
      <c r="H27" s="35" t="str">
        <f t="shared" ca="1" si="0"/>
        <v/>
      </c>
      <c r="I27" s="27" t="s">
        <v>63</v>
      </c>
      <c r="J27" s="31" t="s">
        <v>63</v>
      </c>
      <c r="K27" s="31" t="s">
        <v>136</v>
      </c>
      <c r="L27" s="32" t="str" cm="1">
        <f t="array" ref="L27">_xlfn.IFS(OR(ISBLANK(F27), ISBLANK(G27), ISBLANK(K27)), "", K27="per quarter", (ROUNDUP(MONTH(G27)/3,0) - ROUNDUP(MONTH(F27)/3,0)) + (YEAR(G27) - YEAR(F27)) * 4 + 1, K27="per month", (MONTH(G27) - MONTH(F27)) + (YEAR(G27) - YEAR(F27)) * 12 + 1, K27="bimonthly", ROUNDUP(((MONTH(G27) - MONTH(F27)) + (YEAR(G27) - YEAR(F27)) * 12 + 1) / 2, 0), K27="per year", (YEAR(G27) - YEAR(F27)) + 1, K27="biyear", ROUNDUP(((YEAR(G27) - YEAR(F27)) + 1) / 2, 0), TRUE, "")</f>
        <v/>
      </c>
      <c r="M27" s="33">
        <v>8.4874489999999998</v>
      </c>
      <c r="N27" s="33">
        <v>49.8560157</v>
      </c>
    </row>
    <row r="28" spans="1:14" ht="15" customHeight="1">
      <c r="A28" s="26" t="s">
        <v>20</v>
      </c>
      <c r="B28" s="27">
        <v>104003</v>
      </c>
      <c r="C28" s="28" t="s">
        <v>8</v>
      </c>
      <c r="D28" s="28" t="s">
        <v>18</v>
      </c>
      <c r="E28" s="28"/>
      <c r="F28" s="34"/>
      <c r="G28" s="34"/>
      <c r="H28" s="35" t="str">
        <f t="shared" ca="1" si="0"/>
        <v/>
      </c>
      <c r="I28" s="27" t="s">
        <v>86</v>
      </c>
      <c r="J28" s="31" t="s">
        <v>64</v>
      </c>
      <c r="K28" s="31" t="s">
        <v>136</v>
      </c>
      <c r="L28" s="32" t="str" cm="1">
        <f t="array" ref="L28">_xlfn.IFS(OR(ISBLANK(F28), ISBLANK(G28), ISBLANK(K28)), "", K28="per quarter", (ROUNDUP(MONTH(G28)/3,0) - ROUNDUP(MONTH(F28)/3,0)) + (YEAR(G28) - YEAR(F28)) * 4 + 1, K28="per month", (MONTH(G28) - MONTH(F28)) + (YEAR(G28) - YEAR(F28)) * 12 + 1, K28="bimonthly", ROUNDUP(((MONTH(G28) - MONTH(F28)) + (YEAR(G28) - YEAR(F28)) * 12 + 1) / 2, 0), K28="per year", (YEAR(G28) - YEAR(F28)) + 1, K28="biyear", ROUNDUP(((YEAR(G28) - YEAR(F28)) + 1) / 2, 0), TRUE, "")</f>
        <v/>
      </c>
      <c r="M28" s="33">
        <v>8.4874489999999998</v>
      </c>
      <c r="N28" s="33">
        <v>49.8560157</v>
      </c>
    </row>
    <row r="29" spans="1:14" ht="15" customHeight="1">
      <c r="A29" s="26" t="s">
        <v>20</v>
      </c>
      <c r="B29" s="27">
        <v>104003</v>
      </c>
      <c r="C29" s="28" t="s">
        <v>8</v>
      </c>
      <c r="D29" s="28" t="s">
        <v>18</v>
      </c>
      <c r="E29" s="28"/>
      <c r="F29" s="34"/>
      <c r="G29" s="34"/>
      <c r="H29" s="35" t="str">
        <f t="shared" ca="1" si="0"/>
        <v/>
      </c>
      <c r="I29" s="27" t="s">
        <v>88</v>
      </c>
      <c r="J29" s="31" t="s">
        <v>65</v>
      </c>
      <c r="K29" s="31" t="s">
        <v>136</v>
      </c>
      <c r="L29" s="32" t="str" cm="1">
        <f t="array" ref="L29">_xlfn.IFS(OR(ISBLANK(F29), ISBLANK(G29), ISBLANK(K29)), "", K29="per quarter", (ROUNDUP(MONTH(G29)/3,0) - ROUNDUP(MONTH(F29)/3,0)) + (YEAR(G29) - YEAR(F29)) * 4 + 1, K29="per month", (MONTH(G29) - MONTH(F29)) + (YEAR(G29) - YEAR(F29)) * 12 + 1, K29="bimonthly", ROUNDUP(((MONTH(G29) - MONTH(F29)) + (YEAR(G29) - YEAR(F29)) * 12 + 1) / 2, 0), K29="per year", (YEAR(G29) - YEAR(F29)) + 1, K29="biyear", ROUNDUP(((YEAR(G29) - YEAR(F29)) + 1) / 2, 0), TRUE, "")</f>
        <v/>
      </c>
      <c r="M29" s="33">
        <v>8.4874489999999998</v>
      </c>
      <c r="N29" s="33">
        <v>49.8560157</v>
      </c>
    </row>
    <row r="30" spans="1:14" ht="15" customHeight="1">
      <c r="A30" s="26" t="s">
        <v>20</v>
      </c>
      <c r="B30" s="27">
        <v>104003</v>
      </c>
      <c r="C30" s="28" t="s">
        <v>8</v>
      </c>
      <c r="D30" s="28" t="s">
        <v>18</v>
      </c>
      <c r="E30" s="28"/>
      <c r="F30" s="34"/>
      <c r="G30" s="34"/>
      <c r="H30" s="35" t="str">
        <f t="shared" ca="1" si="0"/>
        <v/>
      </c>
      <c r="I30" s="27" t="s">
        <v>70</v>
      </c>
      <c r="J30" s="31" t="s">
        <v>66</v>
      </c>
      <c r="K30" s="31" t="s">
        <v>136</v>
      </c>
      <c r="L30" s="32" t="str" cm="1">
        <f t="array" ref="L30">_xlfn.IFS(OR(ISBLANK(F30), ISBLANK(G30), ISBLANK(K30)), "", K30="per quarter", (ROUNDUP(MONTH(G30)/3,0) - ROUNDUP(MONTH(F30)/3,0)) + (YEAR(G30) - YEAR(F30)) * 4 + 1, K30="per month", (MONTH(G30) - MONTH(F30)) + (YEAR(G30) - YEAR(F30)) * 12 + 1, K30="bimonthly", ROUNDUP(((MONTH(G30) - MONTH(F30)) + (YEAR(G30) - YEAR(F30)) * 12 + 1) / 2, 0), K30="per year", (YEAR(G30) - YEAR(F30)) + 1, K30="biyear", ROUNDUP(((YEAR(G30) - YEAR(F30)) + 1) / 2, 0), TRUE, "")</f>
        <v/>
      </c>
      <c r="M30" s="33">
        <v>8.4874489999999998</v>
      </c>
      <c r="N30" s="33">
        <v>49.8560157</v>
      </c>
    </row>
    <row r="31" spans="1:14" ht="15" customHeight="1">
      <c r="A31" s="26" t="s">
        <v>21</v>
      </c>
      <c r="B31" s="27">
        <v>105001</v>
      </c>
      <c r="C31" s="28" t="s">
        <v>8</v>
      </c>
      <c r="D31" s="28" t="s">
        <v>22</v>
      </c>
      <c r="E31" s="28"/>
      <c r="F31" s="34"/>
      <c r="G31" s="34"/>
      <c r="H31" s="35" t="str">
        <f t="shared" ca="1" si="0"/>
        <v/>
      </c>
      <c r="I31" s="27" t="s">
        <v>88</v>
      </c>
      <c r="J31" s="31" t="s">
        <v>23</v>
      </c>
      <c r="K31" s="31" t="s">
        <v>136</v>
      </c>
      <c r="L31" s="32" t="str" cm="1">
        <f t="array" ref="L31">_xlfn.IFS(OR(ISBLANK(F31), ISBLANK(G31), ISBLANK(K31)), "", K31="per quarter", (ROUNDUP(MONTH(G31)/3,0) - ROUNDUP(MONTH(F31)/3,0)) + (YEAR(G31) - YEAR(F31)) * 4 + 1, K31="per month", (MONTH(G31) - MONTH(F31)) + (YEAR(G31) - YEAR(F31)) * 12 + 1, K31="bimonthly", ROUNDUP(((MONTH(G31) - MONTH(F31)) + (YEAR(G31) - YEAR(F31)) * 12 + 1) / 2, 0), K31="per year", (YEAR(G31) - YEAR(F31)) + 1, K31="biyear", ROUNDUP(((YEAR(G31) - YEAR(F31)) + 1) / 2, 0), TRUE, "")</f>
        <v/>
      </c>
      <c r="M31" s="33">
        <v>23.881274999999999</v>
      </c>
      <c r="N31" s="33">
        <v>55.169438</v>
      </c>
    </row>
    <row r="32" spans="1:14" ht="15" customHeight="1">
      <c r="A32" s="26" t="s">
        <v>21</v>
      </c>
      <c r="B32" s="27">
        <v>105002</v>
      </c>
      <c r="C32" s="28" t="s">
        <v>8</v>
      </c>
      <c r="D32" s="28" t="s">
        <v>22</v>
      </c>
      <c r="E32" s="28"/>
      <c r="F32" s="29">
        <v>45784</v>
      </c>
      <c r="G32" s="29">
        <v>46149</v>
      </c>
      <c r="H32" s="29" t="str">
        <f t="shared" ca="1" si="0"/>
        <v>D-171</v>
      </c>
      <c r="I32" s="37" t="s">
        <v>88</v>
      </c>
      <c r="J32" s="31" t="s">
        <v>23</v>
      </c>
      <c r="K32" s="31" t="s">
        <v>136</v>
      </c>
      <c r="L32" s="32" cm="1">
        <f t="array" ref="L32">_xlfn.IFS(OR(ISBLANK(F32), ISBLANK(G32), ISBLANK(K32)), "", K32="per quarter", (ROUNDUP(MONTH(G32)/3,0) - ROUNDUP(MONTH(F32)/3,0)) + (YEAR(G32) - YEAR(F32)) * 4 + 1, K32="per month", (MONTH(G32) - MONTH(F32)) + (YEAR(G32) - YEAR(F32)) * 12 + 1, K32="bimonthly", ROUNDUP(((MONTH(G32) - MONTH(F32)) + (YEAR(G32) - YEAR(F32)) * 12 + 1) / 2, 0), K32="per year", (YEAR(G32) - YEAR(F32)) + 1, K32="biyear", ROUNDUP(((YEAR(G32) - YEAR(F32)) + 1) / 2, 0), TRUE, "")</f>
        <v>2</v>
      </c>
      <c r="M32" s="33">
        <v>23.881274999999999</v>
      </c>
      <c r="N32" s="33">
        <v>55.169438</v>
      </c>
    </row>
    <row r="33" spans="1:14" ht="15" customHeight="1">
      <c r="A33" s="26" t="s">
        <v>24</v>
      </c>
      <c r="B33" s="27">
        <v>106001</v>
      </c>
      <c r="C33" s="28" t="s">
        <v>8</v>
      </c>
      <c r="D33" s="28" t="s">
        <v>25</v>
      </c>
      <c r="E33" s="28"/>
      <c r="F33" s="29">
        <v>45778</v>
      </c>
      <c r="G33" s="29">
        <v>46022</v>
      </c>
      <c r="H33" s="29" t="str">
        <f t="shared" ca="1" si="0"/>
        <v>D-44</v>
      </c>
      <c r="I33" s="37" t="s">
        <v>70</v>
      </c>
      <c r="J33" s="31" t="s">
        <v>72</v>
      </c>
      <c r="K33" s="31" t="s">
        <v>136</v>
      </c>
      <c r="L33" s="32" cm="1">
        <f t="array" ref="L33">_xlfn.IFS(OR(ISBLANK(F33), ISBLANK(G33), ISBLANK(K33)), "", K33="per quarter", (ROUNDUP(MONTH(G33)/3,0) - ROUNDUP(MONTH(F33)/3,0)) + (YEAR(G33) - YEAR(F33)) * 4 + 1, K33="per month", (MONTH(G33) - MONTH(F33)) + (YEAR(G33) - YEAR(F33)) * 12 + 1, K33="bimonthly", ROUNDUP(((MONTH(G33) - MONTH(F33)) + (YEAR(G33) - YEAR(F33)) * 12 + 1) / 2, 0), K33="per year", (YEAR(G33) - YEAR(F33)) + 1, K33="biyear", ROUNDUP(((YEAR(G33) - YEAR(F33)) + 1) / 2, 0), TRUE, "")</f>
        <v>1</v>
      </c>
      <c r="M33" s="33">
        <v>26.1025384</v>
      </c>
      <c r="N33" s="33">
        <v>44.426767400000003</v>
      </c>
    </row>
    <row r="34" spans="1:14" ht="15" customHeight="1">
      <c r="A34" s="26" t="s">
        <v>24</v>
      </c>
      <c r="B34" s="27">
        <v>106001</v>
      </c>
      <c r="C34" s="28" t="s">
        <v>8</v>
      </c>
      <c r="D34" s="28" t="s">
        <v>25</v>
      </c>
      <c r="E34" s="28"/>
      <c r="F34" s="29">
        <v>45778</v>
      </c>
      <c r="G34" s="29">
        <v>46022</v>
      </c>
      <c r="H34" s="29" t="str">
        <f t="shared" ca="1" si="0"/>
        <v>D-44</v>
      </c>
      <c r="I34" s="37" t="s">
        <v>70</v>
      </c>
      <c r="J34" s="31" t="s">
        <v>70</v>
      </c>
      <c r="K34" s="31" t="s">
        <v>136</v>
      </c>
      <c r="L34" s="32" cm="1">
        <f t="array" ref="L34">_xlfn.IFS(OR(ISBLANK(F34), ISBLANK(G34), ISBLANK(K34)), "", K34="per quarter", (ROUNDUP(MONTH(G34)/3,0) - ROUNDUP(MONTH(F34)/3,0)) + (YEAR(G34) - YEAR(F34)) * 4 + 1, K34="per month", (MONTH(G34) - MONTH(F34)) + (YEAR(G34) - YEAR(F34)) * 12 + 1, K34="bimonthly", ROUNDUP(((MONTH(G34) - MONTH(F34)) + (YEAR(G34) - YEAR(F34)) * 12 + 1) / 2, 0), K34="per year", (YEAR(G34) - YEAR(F34)) + 1, K34="biyear", ROUNDUP(((YEAR(G34) - YEAR(F34)) + 1) / 2, 0), TRUE, "")</f>
        <v>1</v>
      </c>
      <c r="M34" s="33">
        <v>26.1025384</v>
      </c>
      <c r="N34" s="33">
        <v>44.426767400000003</v>
      </c>
    </row>
    <row r="35" spans="1:14" ht="15" customHeight="1">
      <c r="A35" s="26" t="s">
        <v>24</v>
      </c>
      <c r="B35" s="27">
        <v>106001</v>
      </c>
      <c r="C35" s="28" t="s">
        <v>8</v>
      </c>
      <c r="D35" s="28" t="s">
        <v>25</v>
      </c>
      <c r="E35" s="28"/>
      <c r="F35" s="29">
        <v>45778</v>
      </c>
      <c r="G35" s="29">
        <v>46022</v>
      </c>
      <c r="H35" s="29" t="str">
        <f t="shared" ca="1" si="0"/>
        <v>D-44</v>
      </c>
      <c r="I35" s="37" t="s">
        <v>60</v>
      </c>
      <c r="J35" s="31" t="s">
        <v>60</v>
      </c>
      <c r="K35" s="31" t="s">
        <v>136</v>
      </c>
      <c r="L35" s="32" cm="1">
        <f t="array" ref="L35">_xlfn.IFS(OR(ISBLANK(F35), ISBLANK(G35), ISBLANK(K35)), "", K35="per quarter", (ROUNDUP(MONTH(G35)/3,0) - ROUNDUP(MONTH(F35)/3,0)) + (YEAR(G35) - YEAR(F35)) * 4 + 1, K35="per month", (MONTH(G35) - MONTH(F35)) + (YEAR(G35) - YEAR(F35)) * 12 + 1, K35="bimonthly", ROUNDUP(((MONTH(G35) - MONTH(F35)) + (YEAR(G35) - YEAR(F35)) * 12 + 1) / 2, 0), K35="per year", (YEAR(G35) - YEAR(F35)) + 1, K35="biyear", ROUNDUP(((YEAR(G35) - YEAR(F35)) + 1) / 2, 0), TRUE, "")</f>
        <v>1</v>
      </c>
      <c r="M35" s="33">
        <v>26.1025384</v>
      </c>
      <c r="N35" s="33">
        <v>44.426767400000003</v>
      </c>
    </row>
    <row r="36" spans="1:14" ht="15" customHeight="1">
      <c r="A36" s="26" t="s">
        <v>26</v>
      </c>
      <c r="B36" s="27">
        <v>107001</v>
      </c>
      <c r="C36" s="28" t="s">
        <v>8</v>
      </c>
      <c r="D36" s="28" t="s">
        <v>27</v>
      </c>
      <c r="E36" s="28"/>
      <c r="F36" s="29">
        <v>45839</v>
      </c>
      <c r="G36" s="29">
        <v>46204</v>
      </c>
      <c r="H36" s="29" t="str">
        <f t="shared" ca="1" si="0"/>
        <v>D-226</v>
      </c>
      <c r="I36" s="37" t="s">
        <v>70</v>
      </c>
      <c r="J36" s="31" t="s">
        <v>73</v>
      </c>
      <c r="K36" s="31" t="s">
        <v>136</v>
      </c>
      <c r="L36" s="32" cm="1">
        <f t="array" ref="L36">_xlfn.IFS(OR(ISBLANK(F36), ISBLANK(G36), ISBLANK(K36)), "", K36="per quarter", (ROUNDUP(MONTH(G36)/3,0) - ROUNDUP(MONTH(F36)/3,0)) + (YEAR(G36) - YEAR(F36)) * 4 + 1, K36="per month", (MONTH(G36) - MONTH(F36)) + (YEAR(G36) - YEAR(F36)) * 12 + 1, K36="bimonthly", ROUNDUP(((MONTH(G36) - MONTH(F36)) + (YEAR(G36) - YEAR(F36)) * 12 + 1) / 2, 0), K36="per year", (YEAR(G36) - YEAR(F36)) + 1, K36="biyear", ROUNDUP(((YEAR(G36) - YEAR(F36)) + 1) / 2, 0), TRUE, "")</f>
        <v>2</v>
      </c>
      <c r="M36" s="33">
        <v>23.737233499999999</v>
      </c>
      <c r="N36" s="33">
        <v>37.9823582</v>
      </c>
    </row>
    <row r="37" spans="1:14" ht="15" customHeight="1">
      <c r="A37" s="26" t="s">
        <v>26</v>
      </c>
      <c r="B37" s="27">
        <v>107001</v>
      </c>
      <c r="C37" s="28" t="s">
        <v>8</v>
      </c>
      <c r="D37" s="28" t="s">
        <v>27</v>
      </c>
      <c r="E37" s="28"/>
      <c r="F37" s="29">
        <v>45839</v>
      </c>
      <c r="G37" s="29">
        <v>46204</v>
      </c>
      <c r="H37" s="29" t="str">
        <f t="shared" ca="1" si="0"/>
        <v>D-226</v>
      </c>
      <c r="I37" s="37" t="s">
        <v>74</v>
      </c>
      <c r="J37" s="31" t="s">
        <v>74</v>
      </c>
      <c r="K37" s="31" t="s">
        <v>136</v>
      </c>
      <c r="L37" s="32" cm="1">
        <f t="array" ref="L37">_xlfn.IFS(OR(ISBLANK(F37), ISBLANK(G37), ISBLANK(K37)), "", K37="per quarter", (ROUNDUP(MONTH(G37)/3,0) - ROUNDUP(MONTH(F37)/3,0)) + (YEAR(G37) - YEAR(F37)) * 4 + 1, K37="per month", (MONTH(G37) - MONTH(F37)) + (YEAR(G37) - YEAR(F37)) * 12 + 1, K37="bimonthly", ROUNDUP(((MONTH(G37) - MONTH(F37)) + (YEAR(G37) - YEAR(F37)) * 12 + 1) / 2, 0), K37="per year", (YEAR(G37) - YEAR(F37)) + 1, K37="biyear", ROUNDUP(((YEAR(G37) - YEAR(F37)) + 1) / 2, 0), TRUE, "")</f>
        <v>2</v>
      </c>
      <c r="M37" s="33">
        <v>23.737233499999999</v>
      </c>
      <c r="N37" s="33">
        <v>37.9823582</v>
      </c>
    </row>
    <row r="38" spans="1:14" ht="15" customHeight="1">
      <c r="A38" s="26" t="s">
        <v>26</v>
      </c>
      <c r="B38" s="27">
        <v>107001</v>
      </c>
      <c r="C38" s="28" t="s">
        <v>8</v>
      </c>
      <c r="D38" s="28" t="s">
        <v>27</v>
      </c>
      <c r="E38" s="28"/>
      <c r="F38" s="29">
        <v>45839</v>
      </c>
      <c r="G38" s="29">
        <v>46204</v>
      </c>
      <c r="H38" s="29" t="str">
        <f t="shared" ca="1" si="0"/>
        <v>D-226</v>
      </c>
      <c r="I38" s="37" t="s">
        <v>70</v>
      </c>
      <c r="J38" s="31" t="s">
        <v>75</v>
      </c>
      <c r="K38" s="31" t="s">
        <v>136</v>
      </c>
      <c r="L38" s="32" cm="1">
        <f t="array" ref="L38">_xlfn.IFS(OR(ISBLANK(F38), ISBLANK(G38), ISBLANK(K38)), "", K38="per quarter", (ROUNDUP(MONTH(G38)/3,0) - ROUNDUP(MONTH(F38)/3,0)) + (YEAR(G38) - YEAR(F38)) * 4 + 1, K38="per month", (MONTH(G38) - MONTH(F38)) + (YEAR(G38) - YEAR(F38)) * 12 + 1, K38="bimonthly", ROUNDUP(((MONTH(G38) - MONTH(F38)) + (YEAR(G38) - YEAR(F38)) * 12 + 1) / 2, 0), K38="per year", (YEAR(G38) - YEAR(F38)) + 1, K38="biyear", ROUNDUP(((YEAR(G38) - YEAR(F38)) + 1) / 2, 0), TRUE, "")</f>
        <v>2</v>
      </c>
      <c r="M38" s="33">
        <v>23.737233499999999</v>
      </c>
      <c r="N38" s="33">
        <v>37.9823582</v>
      </c>
    </row>
    <row r="39" spans="1:14" ht="15" customHeight="1">
      <c r="A39" s="26" t="s">
        <v>28</v>
      </c>
      <c r="B39" s="27">
        <v>108001</v>
      </c>
      <c r="C39" s="28" t="s">
        <v>8</v>
      </c>
      <c r="D39" s="28" t="s">
        <v>29</v>
      </c>
      <c r="E39" s="28"/>
      <c r="F39" s="34"/>
      <c r="G39" s="34"/>
      <c r="H39" s="35" t="str">
        <f t="shared" ca="1" si="0"/>
        <v/>
      </c>
      <c r="I39" s="27" t="s">
        <v>63</v>
      </c>
      <c r="J39" s="31" t="s">
        <v>63</v>
      </c>
      <c r="K39" s="31" t="s">
        <v>136</v>
      </c>
      <c r="L39" s="32" t="str" cm="1">
        <f t="array" ref="L39">_xlfn.IFS(OR(ISBLANK(F39), ISBLANK(G39), ISBLANK(K39)), "", K39="per quarter", (ROUNDUP(MONTH(G39)/3,0) - ROUNDUP(MONTH(F39)/3,0)) + (YEAR(G39) - YEAR(F39)) * 4 + 1, K39="per month", (MONTH(G39) - MONTH(F39)) + (YEAR(G39) - YEAR(F39)) * 12 + 1, K39="bimonthly", ROUNDUP(((MONTH(G39) - MONTH(F39)) + (YEAR(G39) - YEAR(F39)) * 12 + 1) / 2, 0), K39="per year", (YEAR(G39) - YEAR(F39)) + 1, K39="biyear", ROUNDUP(((YEAR(G39) - YEAR(F39)) + 1) / 2, 0), TRUE, "")</f>
        <v/>
      </c>
      <c r="M39" s="33">
        <v>21.012228700000001</v>
      </c>
      <c r="N39" s="33">
        <v>52.2296756</v>
      </c>
    </row>
    <row r="40" spans="1:14" ht="15" customHeight="1">
      <c r="A40" s="26" t="s">
        <v>28</v>
      </c>
      <c r="B40" s="27">
        <v>108001</v>
      </c>
      <c r="C40" s="28" t="s">
        <v>8</v>
      </c>
      <c r="D40" s="28" t="s">
        <v>29</v>
      </c>
      <c r="E40" s="28"/>
      <c r="F40" s="34"/>
      <c r="G40" s="34"/>
      <c r="H40" s="35" t="str">
        <f t="shared" ca="1" si="0"/>
        <v/>
      </c>
      <c r="I40" s="27" t="s">
        <v>86</v>
      </c>
      <c r="J40" s="31" t="s">
        <v>64</v>
      </c>
      <c r="K40" s="31" t="s">
        <v>136</v>
      </c>
      <c r="L40" s="32" t="str" cm="1">
        <f t="array" ref="L40">_xlfn.IFS(OR(ISBLANK(F40), ISBLANK(G40), ISBLANK(K40)), "", K40="per quarter", (ROUNDUP(MONTH(G40)/3,0) - ROUNDUP(MONTH(F40)/3,0)) + (YEAR(G40) - YEAR(F40)) * 4 + 1, K40="per month", (MONTH(G40) - MONTH(F40)) + (YEAR(G40) - YEAR(F40)) * 12 + 1, K40="bimonthly", ROUNDUP(((MONTH(G40) - MONTH(F40)) + (YEAR(G40) - YEAR(F40)) * 12 + 1) / 2, 0), K40="per year", (YEAR(G40) - YEAR(F40)) + 1, K40="biyear", ROUNDUP(((YEAR(G40) - YEAR(F40)) + 1) / 2, 0), TRUE, "")</f>
        <v/>
      </c>
      <c r="M40" s="33">
        <v>21.012228700000001</v>
      </c>
      <c r="N40" s="33">
        <v>52.2296756</v>
      </c>
    </row>
    <row r="41" spans="1:14" ht="15" customHeight="1">
      <c r="A41" s="26" t="s">
        <v>28</v>
      </c>
      <c r="B41" s="27">
        <v>108001</v>
      </c>
      <c r="C41" s="28" t="s">
        <v>8</v>
      </c>
      <c r="D41" s="28" t="s">
        <v>29</v>
      </c>
      <c r="E41" s="28"/>
      <c r="F41" s="34"/>
      <c r="G41" s="34"/>
      <c r="H41" s="35" t="str">
        <f t="shared" ca="1" si="0"/>
        <v/>
      </c>
      <c r="I41" s="27" t="s">
        <v>88</v>
      </c>
      <c r="J41" s="31" t="s">
        <v>65</v>
      </c>
      <c r="K41" s="31" t="s">
        <v>136</v>
      </c>
      <c r="L41" s="32" t="str" cm="1">
        <f t="array" ref="L41">_xlfn.IFS(OR(ISBLANK(F41), ISBLANK(G41), ISBLANK(K41)), "", K41="per quarter", (ROUNDUP(MONTH(G41)/3,0) - ROUNDUP(MONTH(F41)/3,0)) + (YEAR(G41) - YEAR(F41)) * 4 + 1, K41="per month", (MONTH(G41) - MONTH(F41)) + (YEAR(G41) - YEAR(F41)) * 12 + 1, K41="bimonthly", ROUNDUP(((MONTH(G41) - MONTH(F41)) + (YEAR(G41) - YEAR(F41)) * 12 + 1) / 2, 0), K41="per year", (YEAR(G41) - YEAR(F41)) + 1, K41="biyear", ROUNDUP(((YEAR(G41) - YEAR(F41)) + 1) / 2, 0), TRUE, "")</f>
        <v/>
      </c>
      <c r="M41" s="33">
        <v>21.012228700000001</v>
      </c>
      <c r="N41" s="33">
        <v>52.2296756</v>
      </c>
    </row>
    <row r="42" spans="1:14" ht="15" customHeight="1">
      <c r="A42" s="26" t="s">
        <v>28</v>
      </c>
      <c r="B42" s="27">
        <v>108001</v>
      </c>
      <c r="C42" s="28" t="s">
        <v>8</v>
      </c>
      <c r="D42" s="28" t="s">
        <v>29</v>
      </c>
      <c r="E42" s="28"/>
      <c r="F42" s="34"/>
      <c r="G42" s="34"/>
      <c r="H42" s="35" t="str">
        <f t="shared" ca="1" si="0"/>
        <v/>
      </c>
      <c r="I42" s="27" t="s">
        <v>70</v>
      </c>
      <c r="J42" s="31" t="s">
        <v>66</v>
      </c>
      <c r="K42" s="31" t="s">
        <v>136</v>
      </c>
      <c r="L42" s="32" t="str" cm="1">
        <f t="array" ref="L42">_xlfn.IFS(OR(ISBLANK(F42), ISBLANK(G42), ISBLANK(K42)), "", K42="per quarter", (ROUNDUP(MONTH(G42)/3,0) - ROUNDUP(MONTH(F42)/3,0)) + (YEAR(G42) - YEAR(F42)) * 4 + 1, K42="per month", (MONTH(G42) - MONTH(F42)) + (YEAR(G42) - YEAR(F42)) * 12 + 1, K42="bimonthly", ROUNDUP(((MONTH(G42) - MONTH(F42)) + (YEAR(G42) - YEAR(F42)) * 12 + 1) / 2, 0), K42="per year", (YEAR(G42) - YEAR(F42)) + 1, K42="biyear", ROUNDUP(((YEAR(G42) - YEAR(F42)) + 1) / 2, 0), TRUE, "")</f>
        <v/>
      </c>
      <c r="M42" s="33">
        <v>21.012228700000001</v>
      </c>
      <c r="N42" s="33">
        <v>52.2296756</v>
      </c>
    </row>
    <row r="43" spans="1:14" ht="15" customHeight="1">
      <c r="A43" s="26" t="s">
        <v>28</v>
      </c>
      <c r="B43" s="27">
        <v>108002</v>
      </c>
      <c r="C43" s="28" t="s">
        <v>8</v>
      </c>
      <c r="D43" s="28" t="s">
        <v>29</v>
      </c>
      <c r="E43" s="28"/>
      <c r="F43" s="29">
        <v>45899</v>
      </c>
      <c r="G43" s="29">
        <v>46264</v>
      </c>
      <c r="H43" s="29" t="str">
        <f t="shared" ca="1" si="0"/>
        <v>D-286</v>
      </c>
      <c r="I43" s="37" t="s">
        <v>63</v>
      </c>
      <c r="J43" s="31" t="s">
        <v>63</v>
      </c>
      <c r="K43" s="31" t="s">
        <v>136</v>
      </c>
      <c r="L43" s="32" cm="1">
        <f t="array" ref="L43">_xlfn.IFS(OR(ISBLANK(F43), ISBLANK(G43), ISBLANK(K43)), "", K43="per quarter", (ROUNDUP(MONTH(G43)/3,0) - ROUNDUP(MONTH(F43)/3,0)) + (YEAR(G43) - YEAR(F43)) * 4 + 1, K43="per month", (MONTH(G43) - MONTH(F43)) + (YEAR(G43) - YEAR(F43)) * 12 + 1, K43="bimonthly", ROUNDUP(((MONTH(G43) - MONTH(F43)) + (YEAR(G43) - YEAR(F43)) * 12 + 1) / 2, 0), K43="per year", (YEAR(G43) - YEAR(F43)) + 1, K43="biyear", ROUNDUP(((YEAR(G43) - YEAR(F43)) + 1) / 2, 0), TRUE, "")</f>
        <v>2</v>
      </c>
      <c r="M43" s="33">
        <v>21.012228700000001</v>
      </c>
      <c r="N43" s="33">
        <v>52.2296756</v>
      </c>
    </row>
    <row r="44" spans="1:14" ht="15" customHeight="1">
      <c r="A44" s="26" t="s">
        <v>28</v>
      </c>
      <c r="B44" s="27">
        <v>108002</v>
      </c>
      <c r="C44" s="28" t="s">
        <v>8</v>
      </c>
      <c r="D44" s="28" t="s">
        <v>29</v>
      </c>
      <c r="E44" s="28"/>
      <c r="F44" s="29">
        <v>45899</v>
      </c>
      <c r="G44" s="29">
        <v>46264</v>
      </c>
      <c r="H44" s="29" t="str">
        <f t="shared" ca="1" si="0"/>
        <v>D-286</v>
      </c>
      <c r="I44" s="37" t="s">
        <v>86</v>
      </c>
      <c r="J44" s="31" t="s">
        <v>64</v>
      </c>
      <c r="K44" s="31" t="s">
        <v>136</v>
      </c>
      <c r="L44" s="32" cm="1">
        <f t="array" ref="L44">_xlfn.IFS(OR(ISBLANK(F44), ISBLANK(G44), ISBLANK(K44)), "", K44="per quarter", (ROUNDUP(MONTH(G44)/3,0) - ROUNDUP(MONTH(F44)/3,0)) + (YEAR(G44) - YEAR(F44)) * 4 + 1, K44="per month", (MONTH(G44) - MONTH(F44)) + (YEAR(G44) - YEAR(F44)) * 12 + 1, K44="bimonthly", ROUNDUP(((MONTH(G44) - MONTH(F44)) + (YEAR(G44) - YEAR(F44)) * 12 + 1) / 2, 0), K44="per year", (YEAR(G44) - YEAR(F44)) + 1, K44="biyear", ROUNDUP(((YEAR(G44) - YEAR(F44)) + 1) / 2, 0), TRUE, "")</f>
        <v>2</v>
      </c>
      <c r="M44" s="33">
        <v>21.012228700000001</v>
      </c>
      <c r="N44" s="33">
        <v>52.2296756</v>
      </c>
    </row>
    <row r="45" spans="1:14" ht="15" customHeight="1">
      <c r="A45" s="26" t="s">
        <v>28</v>
      </c>
      <c r="B45" s="27">
        <v>108002</v>
      </c>
      <c r="C45" s="28" t="s">
        <v>8</v>
      </c>
      <c r="D45" s="28" t="s">
        <v>29</v>
      </c>
      <c r="E45" s="28"/>
      <c r="F45" s="29">
        <v>45899</v>
      </c>
      <c r="G45" s="29">
        <v>46264</v>
      </c>
      <c r="H45" s="29" t="str">
        <f t="shared" ca="1" si="0"/>
        <v>D-286</v>
      </c>
      <c r="I45" s="37" t="s">
        <v>88</v>
      </c>
      <c r="J45" s="31" t="s">
        <v>65</v>
      </c>
      <c r="K45" s="31" t="s">
        <v>136</v>
      </c>
      <c r="L45" s="32" cm="1">
        <f t="array" ref="L45">_xlfn.IFS(OR(ISBLANK(F45), ISBLANK(G45), ISBLANK(K45)), "", K45="per quarter", (ROUNDUP(MONTH(G45)/3,0) - ROUNDUP(MONTH(F45)/3,0)) + (YEAR(G45) - YEAR(F45)) * 4 + 1, K45="per month", (MONTH(G45) - MONTH(F45)) + (YEAR(G45) - YEAR(F45)) * 12 + 1, K45="bimonthly", ROUNDUP(((MONTH(G45) - MONTH(F45)) + (YEAR(G45) - YEAR(F45)) * 12 + 1) / 2, 0), K45="per year", (YEAR(G45) - YEAR(F45)) + 1, K45="biyear", ROUNDUP(((YEAR(G45) - YEAR(F45)) + 1) / 2, 0), TRUE, "")</f>
        <v>2</v>
      </c>
      <c r="M45" s="33">
        <v>21.012228700000001</v>
      </c>
      <c r="N45" s="33">
        <v>52.2296756</v>
      </c>
    </row>
    <row r="46" spans="1:14" ht="15" customHeight="1">
      <c r="A46" s="26" t="s">
        <v>28</v>
      </c>
      <c r="B46" s="27">
        <v>108002</v>
      </c>
      <c r="C46" s="28" t="s">
        <v>8</v>
      </c>
      <c r="D46" s="28" t="s">
        <v>29</v>
      </c>
      <c r="E46" s="28"/>
      <c r="F46" s="29">
        <v>45899</v>
      </c>
      <c r="G46" s="29">
        <v>46264</v>
      </c>
      <c r="H46" s="29" t="str">
        <f t="shared" ca="1" si="0"/>
        <v>D-286</v>
      </c>
      <c r="I46" s="37" t="s">
        <v>70</v>
      </c>
      <c r="J46" s="31" t="s">
        <v>66</v>
      </c>
      <c r="K46" s="31" t="s">
        <v>136</v>
      </c>
      <c r="L46" s="32" cm="1">
        <f t="array" ref="L46">_xlfn.IFS(OR(ISBLANK(F46), ISBLANK(G46), ISBLANK(K46)), "", K46="per quarter", (ROUNDUP(MONTH(G46)/3,0) - ROUNDUP(MONTH(F46)/3,0)) + (YEAR(G46) - YEAR(F46)) * 4 + 1, K46="per month", (MONTH(G46) - MONTH(F46)) + (YEAR(G46) - YEAR(F46)) * 12 + 1, K46="bimonthly", ROUNDUP(((MONTH(G46) - MONTH(F46)) + (YEAR(G46) - YEAR(F46)) * 12 + 1) / 2, 0), K46="per year", (YEAR(G46) - YEAR(F46)) + 1, K46="biyear", ROUNDUP(((YEAR(G46) - YEAR(F46)) + 1) / 2, 0), TRUE, "")</f>
        <v>2</v>
      </c>
      <c r="M46" s="33">
        <v>21.012228700000001</v>
      </c>
      <c r="N46" s="33">
        <v>52.2296756</v>
      </c>
    </row>
    <row r="47" spans="1:14" ht="15" customHeight="1">
      <c r="A47" s="26" t="s">
        <v>30</v>
      </c>
      <c r="B47" s="27">
        <v>108003</v>
      </c>
      <c r="C47" s="28" t="s">
        <v>8</v>
      </c>
      <c r="D47" s="28" t="s">
        <v>29</v>
      </c>
      <c r="E47" s="28"/>
      <c r="F47" s="29">
        <v>45816</v>
      </c>
      <c r="G47" s="29">
        <v>46022</v>
      </c>
      <c r="H47" s="29" t="str">
        <f t="shared" ca="1" si="0"/>
        <v>D-44</v>
      </c>
      <c r="I47" s="37" t="s">
        <v>70</v>
      </c>
      <c r="J47" s="31" t="s">
        <v>76</v>
      </c>
      <c r="K47" s="31" t="s">
        <v>135</v>
      </c>
      <c r="L47" s="32" cm="1">
        <f t="array" ref="L47">_xlfn.IFS(OR(ISBLANK(F47), ISBLANK(G47), ISBLANK(K47)), "", K47="per quarter", (ROUNDUP(MONTH(G47)/3,0) - ROUNDUP(MONTH(F47)/3,0)) + (YEAR(G47) - YEAR(F47)) * 4 + 1, K47="per month", (MONTH(G47) - MONTH(F47)) + (YEAR(G47) - YEAR(F47)) * 12 + 1, K47="bimonthly", ROUNDUP(((MONTH(G47) - MONTH(F47)) + (YEAR(G47) - YEAR(F47)) * 12 + 1) / 2, 0), K47="per year", (YEAR(G47) - YEAR(F47)) + 1, K47="biyear", ROUNDUP(((YEAR(G47) - YEAR(F47)) + 1) / 2, 0), TRUE, "")</f>
        <v>3</v>
      </c>
      <c r="M47" s="33">
        <v>20.899641200000001</v>
      </c>
      <c r="N47" s="33">
        <v>52.346916999999998</v>
      </c>
    </row>
    <row r="48" spans="1:14" ht="15" customHeight="1">
      <c r="A48" s="26" t="s">
        <v>30</v>
      </c>
      <c r="B48" s="27">
        <v>108003</v>
      </c>
      <c r="C48" s="28" t="s">
        <v>8</v>
      </c>
      <c r="D48" s="28" t="s">
        <v>29</v>
      </c>
      <c r="E48" s="28"/>
      <c r="F48" s="29">
        <v>45816</v>
      </c>
      <c r="G48" s="29">
        <v>46022</v>
      </c>
      <c r="H48" s="29" t="str">
        <f t="shared" ca="1" si="0"/>
        <v>D-44</v>
      </c>
      <c r="I48" s="37" t="s">
        <v>86</v>
      </c>
      <c r="J48" s="31" t="s">
        <v>77</v>
      </c>
      <c r="K48" s="31" t="s">
        <v>136</v>
      </c>
      <c r="L48" s="32" cm="1">
        <f t="array" ref="L48">_xlfn.IFS(OR(ISBLANK(F48), ISBLANK(G48), ISBLANK(K48)), "", K48="per quarter", (ROUNDUP(MONTH(G48)/3,0) - ROUNDUP(MONTH(F48)/3,0)) + (YEAR(G48) - YEAR(F48)) * 4 + 1, K48="per month", (MONTH(G48) - MONTH(F48)) + (YEAR(G48) - YEAR(F48)) * 12 + 1, K48="bimonthly", ROUNDUP(((MONTH(G48) - MONTH(F48)) + (YEAR(G48) - YEAR(F48)) * 12 + 1) / 2, 0), K48="per year", (YEAR(G48) - YEAR(F48)) + 1, K48="biyear", ROUNDUP(((YEAR(G48) - YEAR(F48)) + 1) / 2, 0), TRUE, "")</f>
        <v>1</v>
      </c>
      <c r="M48" s="33">
        <v>20.899641200000001</v>
      </c>
      <c r="N48" s="33">
        <v>52.346916999999998</v>
      </c>
    </row>
    <row r="49" spans="1:14" ht="15" customHeight="1">
      <c r="A49" s="26" t="s">
        <v>31</v>
      </c>
      <c r="B49" s="27">
        <v>109001</v>
      </c>
      <c r="C49" s="28" t="s">
        <v>8</v>
      </c>
      <c r="D49" s="28" t="s">
        <v>32</v>
      </c>
      <c r="E49" s="28"/>
      <c r="F49" s="29">
        <v>45852</v>
      </c>
      <c r="G49" s="29">
        <v>46216</v>
      </c>
      <c r="H49" s="29" t="str">
        <f t="shared" ca="1" si="0"/>
        <v>D-238</v>
      </c>
      <c r="I49" s="37" t="s">
        <v>70</v>
      </c>
      <c r="J49" s="31" t="s">
        <v>78</v>
      </c>
      <c r="K49" s="31" t="s">
        <v>135</v>
      </c>
      <c r="L49" s="32" cm="1">
        <f t="array" ref="L49">_xlfn.IFS(OR(ISBLANK(F49), ISBLANK(G49), ISBLANK(K49)), "", K49="per quarter", (ROUNDUP(MONTH(G49)/3,0) - ROUNDUP(MONTH(F49)/3,0)) + (YEAR(G49) - YEAR(F49)) * 4 + 1, K49="per month", (MONTH(G49) - MONTH(F49)) + (YEAR(G49) - YEAR(F49)) * 12 + 1, K49="bimonthly", ROUNDUP(((MONTH(G49) - MONTH(F49)) + (YEAR(G49) - YEAR(F49)) * 12 + 1) / 2, 0), K49="per year", (YEAR(G49) - YEAR(F49)) + 1, K49="biyear", ROUNDUP(((YEAR(G49) - YEAR(F49)) + 1) / 2, 0), TRUE, "")</f>
        <v>5</v>
      </c>
      <c r="M49" s="33">
        <v>30.409621900000001</v>
      </c>
      <c r="N49" s="33">
        <v>50.455707099999998</v>
      </c>
    </row>
    <row r="50" spans="1:14" ht="15" customHeight="1">
      <c r="A50" s="26" t="s">
        <v>31</v>
      </c>
      <c r="B50" s="27">
        <v>109001</v>
      </c>
      <c r="C50" s="28" t="s">
        <v>8</v>
      </c>
      <c r="D50" s="28" t="s">
        <v>32</v>
      </c>
      <c r="E50" s="28"/>
      <c r="F50" s="29">
        <v>45852</v>
      </c>
      <c r="G50" s="29">
        <v>46216</v>
      </c>
      <c r="H50" s="29" t="str">
        <f t="shared" ca="1" si="0"/>
        <v>D-238</v>
      </c>
      <c r="I50" s="37" t="s">
        <v>87</v>
      </c>
      <c r="J50" s="31" t="s">
        <v>69</v>
      </c>
      <c r="K50" s="31" t="s">
        <v>136</v>
      </c>
      <c r="L50" s="32" cm="1">
        <f t="array" ref="L50">_xlfn.IFS(OR(ISBLANK(F50), ISBLANK(G50), ISBLANK(K50)), "", K50="per quarter", (ROUNDUP(MONTH(G50)/3,0) - ROUNDUP(MONTH(F50)/3,0)) + (YEAR(G50) - YEAR(F50)) * 4 + 1, K50="per month", (MONTH(G50) - MONTH(F50)) + (YEAR(G50) - YEAR(F50)) * 12 + 1, K50="bimonthly", ROUNDUP(((MONTH(G50) - MONTH(F50)) + (YEAR(G50) - YEAR(F50)) * 12 + 1) / 2, 0), K50="per year", (YEAR(G50) - YEAR(F50)) + 1, K50="biyear", ROUNDUP(((YEAR(G50) - YEAR(F50)) + 1) / 2, 0), TRUE, "")</f>
        <v>2</v>
      </c>
      <c r="M50" s="33">
        <v>30.409621900000001</v>
      </c>
      <c r="N50" s="33">
        <v>50.455707099999998</v>
      </c>
    </row>
    <row r="51" spans="1:14" ht="15" customHeight="1">
      <c r="A51" s="26" t="s">
        <v>33</v>
      </c>
      <c r="B51" s="27">
        <v>109002</v>
      </c>
      <c r="C51" s="28" t="s">
        <v>8</v>
      </c>
      <c r="D51" s="28" t="s">
        <v>32</v>
      </c>
      <c r="E51" s="28"/>
      <c r="F51" s="29">
        <v>45852</v>
      </c>
      <c r="G51" s="29">
        <v>46216</v>
      </c>
      <c r="H51" s="29" t="str">
        <f t="shared" ca="1" si="0"/>
        <v>D-238</v>
      </c>
      <c r="I51" s="37" t="s">
        <v>70</v>
      </c>
      <c r="J51" s="31" t="s">
        <v>78</v>
      </c>
      <c r="K51" s="31" t="s">
        <v>135</v>
      </c>
      <c r="L51" s="32" cm="1">
        <f t="array" ref="L51">_xlfn.IFS(OR(ISBLANK(F51), ISBLANK(G51), ISBLANK(K51)), "", K51="per quarter", (ROUNDUP(MONTH(G51)/3,0) - ROUNDUP(MONTH(F51)/3,0)) + (YEAR(G51) - YEAR(F51)) * 4 + 1, K51="per month", (MONTH(G51) - MONTH(F51)) + (YEAR(G51) - YEAR(F51)) * 12 + 1, K51="bimonthly", ROUNDUP(((MONTH(G51) - MONTH(F51)) + (YEAR(G51) - YEAR(F51)) * 12 + 1) / 2, 0), K51="per year", (YEAR(G51) - YEAR(F51)) + 1, K51="biyear", ROUNDUP(((YEAR(G51) - YEAR(F51)) + 1) / 2, 0), TRUE, "")</f>
        <v>5</v>
      </c>
      <c r="M51" s="33">
        <v>30.475850099999999</v>
      </c>
      <c r="N51" s="33">
        <v>50.430371200000003</v>
      </c>
    </row>
    <row r="52" spans="1:14" ht="15" customHeight="1">
      <c r="A52" s="26" t="s">
        <v>33</v>
      </c>
      <c r="B52" s="27">
        <v>109002</v>
      </c>
      <c r="C52" s="28" t="s">
        <v>8</v>
      </c>
      <c r="D52" s="28" t="s">
        <v>32</v>
      </c>
      <c r="E52" s="28"/>
      <c r="F52" s="29">
        <v>45852</v>
      </c>
      <c r="G52" s="29">
        <v>46216</v>
      </c>
      <c r="H52" s="29" t="str">
        <f t="shared" ca="1" si="0"/>
        <v>D-238</v>
      </c>
      <c r="I52" s="37" t="s">
        <v>87</v>
      </c>
      <c r="J52" s="31" t="s">
        <v>69</v>
      </c>
      <c r="K52" s="31" t="s">
        <v>136</v>
      </c>
      <c r="L52" s="32" cm="1">
        <f t="array" ref="L52">_xlfn.IFS(OR(ISBLANK(F52), ISBLANK(G52), ISBLANK(K52)), "", K52="per quarter", (ROUNDUP(MONTH(G52)/3,0) - ROUNDUP(MONTH(F52)/3,0)) + (YEAR(G52) - YEAR(F52)) * 4 + 1, K52="per month", (MONTH(G52) - MONTH(F52)) + (YEAR(G52) - YEAR(F52)) * 12 + 1, K52="bimonthly", ROUNDUP(((MONTH(G52) - MONTH(F52)) + (YEAR(G52) - YEAR(F52)) * 12 + 1) / 2, 0), K52="per year", (YEAR(G52) - YEAR(F52)) + 1, K52="biyear", ROUNDUP(((YEAR(G52) - YEAR(F52)) + 1) / 2, 0), TRUE, "")</f>
        <v>2</v>
      </c>
      <c r="M52" s="33">
        <v>30.475850099999999</v>
      </c>
      <c r="N52" s="33">
        <v>50.430371200000003</v>
      </c>
    </row>
    <row r="53" spans="1:14" ht="15" customHeight="1">
      <c r="A53" s="26" t="s">
        <v>34</v>
      </c>
      <c r="B53" s="27">
        <v>110001</v>
      </c>
      <c r="C53" s="28" t="s">
        <v>8</v>
      </c>
      <c r="D53" s="28" t="s">
        <v>35</v>
      </c>
      <c r="E53" s="28"/>
      <c r="F53" s="34"/>
      <c r="G53" s="34"/>
      <c r="H53" s="35" t="str">
        <f t="shared" ca="1" si="0"/>
        <v/>
      </c>
      <c r="I53" s="27" t="s">
        <v>63</v>
      </c>
      <c r="J53" s="31" t="s">
        <v>63</v>
      </c>
      <c r="K53" s="31" t="s">
        <v>136</v>
      </c>
      <c r="L53" s="32" t="str" cm="1">
        <f t="array" ref="L53">_xlfn.IFS(OR(ISBLANK(F53), ISBLANK(G53), ISBLANK(K53)), "", K53="per quarter", (ROUNDUP(MONTH(G53)/3,0) - ROUNDUP(MONTH(F53)/3,0)) + (YEAR(G53) - YEAR(F53)) * 4 + 1, K53="per month", (MONTH(G53) - MONTH(F53)) + (YEAR(G53) - YEAR(F53)) * 12 + 1, K53="bimonthly", ROUNDUP(((MONTH(G53) - MONTH(F53)) + (YEAR(G53) - YEAR(F53)) * 12 + 1) / 2, 0), K53="per year", (YEAR(G53) - YEAR(F53)) + 1, K53="biyear", ROUNDUP(((YEAR(G53) - YEAR(F53)) + 1) / 2, 0), TRUE, "")</f>
        <v/>
      </c>
      <c r="M53" s="33">
        <v>26.719974199999999</v>
      </c>
      <c r="N53" s="33">
        <v>58.372636399999998</v>
      </c>
    </row>
    <row r="54" spans="1:14" ht="15" customHeight="1">
      <c r="A54" s="26" t="s">
        <v>34</v>
      </c>
      <c r="B54" s="27">
        <v>110001</v>
      </c>
      <c r="C54" s="28" t="s">
        <v>8</v>
      </c>
      <c r="D54" s="28" t="s">
        <v>35</v>
      </c>
      <c r="E54" s="28"/>
      <c r="F54" s="34"/>
      <c r="G54" s="34"/>
      <c r="H54" s="35" t="str">
        <f t="shared" ca="1" si="0"/>
        <v/>
      </c>
      <c r="I54" s="27" t="s">
        <v>86</v>
      </c>
      <c r="J54" s="31" t="s">
        <v>64</v>
      </c>
      <c r="K54" s="31" t="s">
        <v>136</v>
      </c>
      <c r="L54" s="32" t="str" cm="1">
        <f t="array" ref="L54">_xlfn.IFS(OR(ISBLANK(F54), ISBLANK(G54), ISBLANK(K54)), "", K54="per quarter", (ROUNDUP(MONTH(G54)/3,0) - ROUNDUP(MONTH(F54)/3,0)) + (YEAR(G54) - YEAR(F54)) * 4 + 1, K54="per month", (MONTH(G54) - MONTH(F54)) + (YEAR(G54) - YEAR(F54)) * 12 + 1, K54="bimonthly", ROUNDUP(((MONTH(G54) - MONTH(F54)) + (YEAR(G54) - YEAR(F54)) * 12 + 1) / 2, 0), K54="per year", (YEAR(G54) - YEAR(F54)) + 1, K54="biyear", ROUNDUP(((YEAR(G54) - YEAR(F54)) + 1) / 2, 0), TRUE, "")</f>
        <v/>
      </c>
      <c r="M54" s="33">
        <v>26.719974199999999</v>
      </c>
      <c r="N54" s="33">
        <v>58.372636399999998</v>
      </c>
    </row>
    <row r="55" spans="1:14" ht="15" customHeight="1">
      <c r="A55" s="26" t="s">
        <v>34</v>
      </c>
      <c r="B55" s="27">
        <v>110001</v>
      </c>
      <c r="C55" s="28" t="s">
        <v>8</v>
      </c>
      <c r="D55" s="28" t="s">
        <v>35</v>
      </c>
      <c r="E55" s="28"/>
      <c r="F55" s="34"/>
      <c r="G55" s="34"/>
      <c r="H55" s="35" t="str">
        <f t="shared" ca="1" si="0"/>
        <v/>
      </c>
      <c r="I55" s="27" t="s">
        <v>88</v>
      </c>
      <c r="J55" s="31" t="s">
        <v>65</v>
      </c>
      <c r="K55" s="31" t="s">
        <v>136</v>
      </c>
      <c r="L55" s="32" t="str" cm="1">
        <f t="array" ref="L55">_xlfn.IFS(OR(ISBLANK(F55), ISBLANK(G55), ISBLANK(K55)), "", K55="per quarter", (ROUNDUP(MONTH(G55)/3,0) - ROUNDUP(MONTH(F55)/3,0)) + (YEAR(G55) - YEAR(F55)) * 4 + 1, K55="per month", (MONTH(G55) - MONTH(F55)) + (YEAR(G55) - YEAR(F55)) * 12 + 1, K55="bimonthly", ROUNDUP(((MONTH(G55) - MONTH(F55)) + (YEAR(G55) - YEAR(F55)) * 12 + 1) / 2, 0), K55="per year", (YEAR(G55) - YEAR(F55)) + 1, K55="biyear", ROUNDUP(((YEAR(G55) - YEAR(F55)) + 1) / 2, 0), TRUE, "")</f>
        <v/>
      </c>
      <c r="M55" s="33">
        <v>26.719974199999999</v>
      </c>
      <c r="N55" s="33">
        <v>58.372636399999998</v>
      </c>
    </row>
    <row r="56" spans="1:14" ht="15" customHeight="1">
      <c r="A56" s="26" t="s">
        <v>34</v>
      </c>
      <c r="B56" s="27">
        <v>110001</v>
      </c>
      <c r="C56" s="28" t="s">
        <v>8</v>
      </c>
      <c r="D56" s="28" t="s">
        <v>35</v>
      </c>
      <c r="E56" s="28"/>
      <c r="F56" s="34"/>
      <c r="G56" s="34"/>
      <c r="H56" s="35" t="str">
        <f t="shared" ca="1" si="0"/>
        <v/>
      </c>
      <c r="I56" s="27" t="s">
        <v>70</v>
      </c>
      <c r="J56" s="31" t="s">
        <v>66</v>
      </c>
      <c r="K56" s="31" t="s">
        <v>136</v>
      </c>
      <c r="L56" s="32" t="str" cm="1">
        <f t="array" ref="L56">_xlfn.IFS(OR(ISBLANK(F56), ISBLANK(G56), ISBLANK(K56)), "", K56="per quarter", (ROUNDUP(MONTH(G56)/3,0) - ROUNDUP(MONTH(F56)/3,0)) + (YEAR(G56) - YEAR(F56)) * 4 + 1, K56="per month", (MONTH(G56) - MONTH(F56)) + (YEAR(G56) - YEAR(F56)) * 12 + 1, K56="bimonthly", ROUNDUP(((MONTH(G56) - MONTH(F56)) + (YEAR(G56) - YEAR(F56)) * 12 + 1) / 2, 0), K56="per year", (YEAR(G56) - YEAR(F56)) + 1, K56="biyear", ROUNDUP(((YEAR(G56) - YEAR(F56)) + 1) / 2, 0), TRUE, "")</f>
        <v/>
      </c>
      <c r="M56" s="33">
        <v>26.719974199999999</v>
      </c>
      <c r="N56" s="33">
        <v>58.372636399999998</v>
      </c>
    </row>
    <row r="57" spans="1:14" ht="15" customHeight="1">
      <c r="A57" s="26" t="s">
        <v>36</v>
      </c>
      <c r="B57" s="27">
        <v>111001</v>
      </c>
      <c r="C57" s="28" t="s">
        <v>8</v>
      </c>
      <c r="D57" s="28" t="s">
        <v>37</v>
      </c>
      <c r="E57" s="28"/>
      <c r="F57" s="29">
        <v>45723</v>
      </c>
      <c r="G57" s="29">
        <v>46088</v>
      </c>
      <c r="H57" s="29" t="str">
        <f t="shared" ca="1" si="0"/>
        <v>D-110</v>
      </c>
      <c r="I57" s="37" t="s">
        <v>86</v>
      </c>
      <c r="J57" s="31" t="s">
        <v>38</v>
      </c>
      <c r="K57" s="31" t="s">
        <v>136</v>
      </c>
      <c r="L57" s="32" cm="1">
        <f t="array" ref="L57">_xlfn.IFS(OR(ISBLANK(F57), ISBLANK(G57), ISBLANK(K57)), "", K57="per quarter", (ROUNDUP(MONTH(G57)/3,0) - ROUNDUP(MONTH(F57)/3,0)) + (YEAR(G57) - YEAR(F57)) * 4 + 1, K57="per month", (MONTH(G57) - MONTH(F57)) + (YEAR(G57) - YEAR(F57)) * 12 + 1, K57="bimonthly", ROUNDUP(((MONTH(G57) - MONTH(F57)) + (YEAR(G57) - YEAR(F57)) * 12 + 1) / 2, 0), K57="per year", (YEAR(G57) - YEAR(F57)) + 1, K57="biyear", ROUNDUP(((YEAR(G57) - YEAR(F57)) + 1) / 2, 0), TRUE, "")</f>
        <v>2</v>
      </c>
      <c r="M57" s="33">
        <v>12.4408791</v>
      </c>
      <c r="N57" s="33">
        <v>41.858696100000003</v>
      </c>
    </row>
    <row r="58" spans="1:14" ht="15" customHeight="1">
      <c r="A58" s="26" t="s">
        <v>39</v>
      </c>
      <c r="B58" s="27">
        <v>111002</v>
      </c>
      <c r="C58" s="28" t="s">
        <v>8</v>
      </c>
      <c r="D58" s="28" t="s">
        <v>37</v>
      </c>
      <c r="E58" s="28"/>
      <c r="F58" s="34"/>
      <c r="G58" s="34"/>
      <c r="H58" s="35" t="str">
        <f t="shared" ca="1" si="0"/>
        <v/>
      </c>
      <c r="I58" s="27" t="s">
        <v>63</v>
      </c>
      <c r="J58" s="31" t="s">
        <v>63</v>
      </c>
      <c r="K58" s="31" t="s">
        <v>136</v>
      </c>
      <c r="L58" s="32" t="str" cm="1">
        <f t="array" ref="L58">_xlfn.IFS(OR(ISBLANK(F58), ISBLANK(G58), ISBLANK(K58)), "", K58="per quarter", (ROUNDUP(MONTH(G58)/3,0) - ROUNDUP(MONTH(F58)/3,0)) + (YEAR(G58) - YEAR(F58)) * 4 + 1, K58="per month", (MONTH(G58) - MONTH(F58)) + (YEAR(G58) - YEAR(F58)) * 12 + 1, K58="bimonthly", ROUNDUP(((MONTH(G58) - MONTH(F58)) + (YEAR(G58) - YEAR(F58)) * 12 + 1) / 2, 0), K58="per year", (YEAR(G58) - YEAR(F58)) + 1, K58="biyear", ROUNDUP(((YEAR(G58) - YEAR(F58)) + 1) / 2, 0), TRUE, "")</f>
        <v/>
      </c>
      <c r="M58" s="33">
        <v>13.332581899999999</v>
      </c>
      <c r="N58" s="33">
        <v>38.130287899999999</v>
      </c>
    </row>
    <row r="59" spans="1:14" ht="15" customHeight="1">
      <c r="A59" s="26" t="s">
        <v>39</v>
      </c>
      <c r="B59" s="27">
        <v>111002</v>
      </c>
      <c r="C59" s="28" t="s">
        <v>8</v>
      </c>
      <c r="D59" s="28" t="s">
        <v>37</v>
      </c>
      <c r="E59" s="28"/>
      <c r="F59" s="34"/>
      <c r="G59" s="34"/>
      <c r="H59" s="35" t="str">
        <f t="shared" ca="1" si="0"/>
        <v/>
      </c>
      <c r="I59" s="27" t="s">
        <v>86</v>
      </c>
      <c r="J59" s="31" t="s">
        <v>64</v>
      </c>
      <c r="K59" s="31" t="s">
        <v>136</v>
      </c>
      <c r="L59" s="32" t="str" cm="1">
        <f t="array" ref="L59">_xlfn.IFS(OR(ISBLANK(F59), ISBLANK(G59), ISBLANK(K59)), "", K59="per quarter", (ROUNDUP(MONTH(G59)/3,0) - ROUNDUP(MONTH(F59)/3,0)) + (YEAR(G59) - YEAR(F59)) * 4 + 1, K59="per month", (MONTH(G59) - MONTH(F59)) + (YEAR(G59) - YEAR(F59)) * 12 + 1, K59="bimonthly", ROUNDUP(((MONTH(G59) - MONTH(F59)) + (YEAR(G59) - YEAR(F59)) * 12 + 1) / 2, 0), K59="per year", (YEAR(G59) - YEAR(F59)) + 1, K59="biyear", ROUNDUP(((YEAR(G59) - YEAR(F59)) + 1) / 2, 0), TRUE, "")</f>
        <v/>
      </c>
      <c r="M59" s="33">
        <v>13.332581899999999</v>
      </c>
      <c r="N59" s="33">
        <v>38.130287899999999</v>
      </c>
    </row>
    <row r="60" spans="1:14" ht="15" customHeight="1">
      <c r="A60" s="26" t="s">
        <v>39</v>
      </c>
      <c r="B60" s="27">
        <v>111002</v>
      </c>
      <c r="C60" s="28" t="s">
        <v>8</v>
      </c>
      <c r="D60" s="28" t="s">
        <v>37</v>
      </c>
      <c r="E60" s="28"/>
      <c r="F60" s="34"/>
      <c r="G60" s="34"/>
      <c r="H60" s="35" t="str">
        <f t="shared" ca="1" si="0"/>
        <v/>
      </c>
      <c r="I60" s="27" t="s">
        <v>88</v>
      </c>
      <c r="J60" s="31" t="s">
        <v>65</v>
      </c>
      <c r="K60" s="31" t="s">
        <v>136</v>
      </c>
      <c r="L60" s="32" t="str" cm="1">
        <f t="array" ref="L60">_xlfn.IFS(OR(ISBLANK(F60), ISBLANK(G60), ISBLANK(K60)), "", K60="per quarter", (ROUNDUP(MONTH(G60)/3,0) - ROUNDUP(MONTH(F60)/3,0)) + (YEAR(G60) - YEAR(F60)) * 4 + 1, K60="per month", (MONTH(G60) - MONTH(F60)) + (YEAR(G60) - YEAR(F60)) * 12 + 1, K60="bimonthly", ROUNDUP(((MONTH(G60) - MONTH(F60)) + (YEAR(G60) - YEAR(F60)) * 12 + 1) / 2, 0), K60="per year", (YEAR(G60) - YEAR(F60)) + 1, K60="biyear", ROUNDUP(((YEAR(G60) - YEAR(F60)) + 1) / 2, 0), TRUE, "")</f>
        <v/>
      </c>
      <c r="M60" s="33">
        <v>13.332581899999999</v>
      </c>
      <c r="N60" s="33">
        <v>38.130287899999999</v>
      </c>
    </row>
    <row r="61" spans="1:14" ht="15" customHeight="1">
      <c r="A61" s="26" t="s">
        <v>39</v>
      </c>
      <c r="B61" s="27">
        <v>111002</v>
      </c>
      <c r="C61" s="28" t="s">
        <v>8</v>
      </c>
      <c r="D61" s="28" t="s">
        <v>37</v>
      </c>
      <c r="E61" s="28"/>
      <c r="F61" s="34"/>
      <c r="G61" s="34"/>
      <c r="H61" s="35" t="str">
        <f t="shared" ca="1" si="0"/>
        <v/>
      </c>
      <c r="I61" s="27" t="s">
        <v>70</v>
      </c>
      <c r="J61" s="31" t="s">
        <v>66</v>
      </c>
      <c r="K61" s="31" t="s">
        <v>136</v>
      </c>
      <c r="L61" s="32" t="str" cm="1">
        <f t="array" ref="L61">_xlfn.IFS(OR(ISBLANK(F61), ISBLANK(G61), ISBLANK(K61)), "", K61="per quarter", (ROUNDUP(MONTH(G61)/3,0) - ROUNDUP(MONTH(F61)/3,0)) + (YEAR(G61) - YEAR(F61)) * 4 + 1, K61="per month", (MONTH(G61) - MONTH(F61)) + (YEAR(G61) - YEAR(F61)) * 12 + 1, K61="bimonthly", ROUNDUP(((MONTH(G61) - MONTH(F61)) + (YEAR(G61) - YEAR(F61)) * 12 + 1) / 2, 0), K61="per year", (YEAR(G61) - YEAR(F61)) + 1, K61="biyear", ROUNDUP(((YEAR(G61) - YEAR(F61)) + 1) / 2, 0), TRUE, "")</f>
        <v/>
      </c>
      <c r="M61" s="33">
        <v>13.332581899999999</v>
      </c>
      <c r="N61" s="33">
        <v>38.130287899999999</v>
      </c>
    </row>
    <row r="62" spans="1:14" ht="15" customHeight="1">
      <c r="A62" s="26" t="s">
        <v>40</v>
      </c>
      <c r="B62" s="27">
        <v>201001</v>
      </c>
      <c r="C62" s="28" t="s">
        <v>41</v>
      </c>
      <c r="D62" s="28" t="s">
        <v>42</v>
      </c>
      <c r="E62" s="28"/>
      <c r="F62" s="34"/>
      <c r="G62" s="34"/>
      <c r="H62" s="35" t="str">
        <f t="shared" ca="1" si="0"/>
        <v/>
      </c>
      <c r="I62" s="27" t="s">
        <v>63</v>
      </c>
      <c r="J62" s="31" t="s">
        <v>63</v>
      </c>
      <c r="K62" s="31" t="s">
        <v>136</v>
      </c>
      <c r="L62" s="32" t="str" cm="1">
        <f t="array" ref="L62">_xlfn.IFS(OR(ISBLANK(F62), ISBLANK(G62), ISBLANK(K62)), "", K62="per quarter", (ROUNDUP(MONTH(G62)/3,0) - ROUNDUP(MONTH(F62)/3,0)) + (YEAR(G62) - YEAR(F62)) * 4 + 1, K62="per month", (MONTH(G62) - MONTH(F62)) + (YEAR(G62) - YEAR(F62)) * 12 + 1, K62="bimonthly", ROUNDUP(((MONTH(G62) - MONTH(F62)) + (YEAR(G62) - YEAR(F62)) * 12 + 1) / 2, 0), K62="per year", (YEAR(G62) - YEAR(F62)) + 1, K62="biyear", ROUNDUP(((YEAR(G62) - YEAR(F62)) + 1) / 2, 0), TRUE, "")</f>
        <v/>
      </c>
      <c r="M62" s="33">
        <v>126.65029730000001</v>
      </c>
      <c r="N62" s="33">
        <v>37.370175400000001</v>
      </c>
    </row>
    <row r="63" spans="1:14" ht="15" customHeight="1">
      <c r="A63" s="26" t="s">
        <v>40</v>
      </c>
      <c r="B63" s="27">
        <v>201001</v>
      </c>
      <c r="C63" s="28" t="s">
        <v>41</v>
      </c>
      <c r="D63" s="28" t="s">
        <v>42</v>
      </c>
      <c r="E63" s="28"/>
      <c r="F63" s="34"/>
      <c r="G63" s="34"/>
      <c r="H63" s="35" t="str">
        <f t="shared" ca="1" si="0"/>
        <v/>
      </c>
      <c r="I63" s="27" t="s">
        <v>86</v>
      </c>
      <c r="J63" s="31" t="s">
        <v>64</v>
      </c>
      <c r="K63" s="31" t="s">
        <v>136</v>
      </c>
      <c r="L63" s="32" t="str" cm="1">
        <f t="array" ref="L63">_xlfn.IFS(OR(ISBLANK(F63), ISBLANK(G63), ISBLANK(K63)), "", K63="per quarter", (ROUNDUP(MONTH(G63)/3,0) - ROUNDUP(MONTH(F63)/3,0)) + (YEAR(G63) - YEAR(F63)) * 4 + 1, K63="per month", (MONTH(G63) - MONTH(F63)) + (YEAR(G63) - YEAR(F63)) * 12 + 1, K63="bimonthly", ROUNDUP(((MONTH(G63) - MONTH(F63)) + (YEAR(G63) - YEAR(F63)) * 12 + 1) / 2, 0), K63="per year", (YEAR(G63) - YEAR(F63)) + 1, K63="biyear", ROUNDUP(((YEAR(G63) - YEAR(F63)) + 1) / 2, 0), TRUE, "")</f>
        <v/>
      </c>
      <c r="M63" s="33">
        <v>126.65029730000001</v>
      </c>
      <c r="N63" s="33">
        <v>37.370175400000001</v>
      </c>
    </row>
    <row r="64" spans="1:14" ht="15" customHeight="1">
      <c r="A64" s="26" t="s">
        <v>40</v>
      </c>
      <c r="B64" s="27">
        <v>201001</v>
      </c>
      <c r="C64" s="28" t="s">
        <v>41</v>
      </c>
      <c r="D64" s="28" t="s">
        <v>42</v>
      </c>
      <c r="E64" s="28"/>
      <c r="F64" s="34"/>
      <c r="G64" s="34"/>
      <c r="H64" s="35" t="str">
        <f t="shared" ca="1" si="0"/>
        <v/>
      </c>
      <c r="I64" s="27" t="s">
        <v>88</v>
      </c>
      <c r="J64" s="31" t="s">
        <v>65</v>
      </c>
      <c r="K64" s="31" t="s">
        <v>136</v>
      </c>
      <c r="L64" s="32" t="str" cm="1">
        <f t="array" ref="L64">_xlfn.IFS(OR(ISBLANK(F64), ISBLANK(G64), ISBLANK(K64)), "", K64="per quarter", (ROUNDUP(MONTH(G64)/3,0) - ROUNDUP(MONTH(F64)/3,0)) + (YEAR(G64) - YEAR(F64)) * 4 + 1, K64="per month", (MONTH(G64) - MONTH(F64)) + (YEAR(G64) - YEAR(F64)) * 12 + 1, K64="bimonthly", ROUNDUP(((MONTH(G64) - MONTH(F64)) + (YEAR(G64) - YEAR(F64)) * 12 + 1) / 2, 0), K64="per year", (YEAR(G64) - YEAR(F64)) + 1, K64="biyear", ROUNDUP(((YEAR(G64) - YEAR(F64)) + 1) / 2, 0), TRUE, "")</f>
        <v/>
      </c>
      <c r="M64" s="33">
        <v>126.65029730000001</v>
      </c>
      <c r="N64" s="33">
        <v>37.370175400000001</v>
      </c>
    </row>
    <row r="65" spans="1:14" ht="15" customHeight="1">
      <c r="A65" s="26" t="s">
        <v>40</v>
      </c>
      <c r="B65" s="27">
        <v>201001</v>
      </c>
      <c r="C65" s="28" t="s">
        <v>41</v>
      </c>
      <c r="D65" s="28" t="s">
        <v>42</v>
      </c>
      <c r="E65" s="28"/>
      <c r="F65" s="34"/>
      <c r="G65" s="34"/>
      <c r="H65" s="35" t="str">
        <f t="shared" ca="1" si="0"/>
        <v/>
      </c>
      <c r="I65" s="27" t="s">
        <v>70</v>
      </c>
      <c r="J65" s="31" t="s">
        <v>66</v>
      </c>
      <c r="K65" s="31" t="s">
        <v>136</v>
      </c>
      <c r="L65" s="32" t="str" cm="1">
        <f t="array" ref="L65">_xlfn.IFS(OR(ISBLANK(F65), ISBLANK(G65), ISBLANK(K65)), "", K65="per quarter", (ROUNDUP(MONTH(G65)/3,0) - ROUNDUP(MONTH(F65)/3,0)) + (YEAR(G65) - YEAR(F65)) * 4 + 1, K65="per month", (MONTH(G65) - MONTH(F65)) + (YEAR(G65) - YEAR(F65)) * 12 + 1, K65="bimonthly", ROUNDUP(((MONTH(G65) - MONTH(F65)) + (YEAR(G65) - YEAR(F65)) * 12 + 1) / 2, 0), K65="per year", (YEAR(G65) - YEAR(F65)) + 1, K65="biyear", ROUNDUP(((YEAR(G65) - YEAR(F65)) + 1) / 2, 0), TRUE, "")</f>
        <v/>
      </c>
      <c r="M65" s="33">
        <v>126.65029730000001</v>
      </c>
      <c r="N65" s="33">
        <v>37.370175400000001</v>
      </c>
    </row>
    <row r="66" spans="1:14" ht="15" customHeight="1">
      <c r="A66" s="26" t="s">
        <v>43</v>
      </c>
      <c r="B66" s="27">
        <v>202001</v>
      </c>
      <c r="C66" s="28" t="s">
        <v>41</v>
      </c>
      <c r="D66" s="28" t="s">
        <v>44</v>
      </c>
      <c r="E66" s="28"/>
      <c r="F66" s="29">
        <v>45763</v>
      </c>
      <c r="G66" s="29">
        <v>46022</v>
      </c>
      <c r="H66" s="29" t="str">
        <f t="shared" ca="1" si="0"/>
        <v>D-44</v>
      </c>
      <c r="I66" s="37" t="s">
        <v>70</v>
      </c>
      <c r="J66" s="31" t="s">
        <v>79</v>
      </c>
      <c r="K66" s="31" t="s">
        <v>137</v>
      </c>
      <c r="L66" s="32" t="str" cm="1">
        <f t="array" ref="L66">_xlfn.IFS(OR(ISBLANK(F66), ISBLANK(G66), ISBLANK(K66)), "", K66="per quarter", (ROUNDUP(MONTH(G66)/3,0) - ROUNDUP(MONTH(F66)/3,0)) + (YEAR(G66) - YEAR(F66)) * 4 + 1, K66="per month", (MONTH(G66) - MONTH(F66)) + (YEAR(G66) - YEAR(F66)) * 12 + 1, K66="bimonthly", ROUNDUP(((MONTH(G66) - MONTH(F66)) + (YEAR(G66) - YEAR(F66)) * 12 + 1) / 2, 0), K66="per year", (YEAR(G66) - YEAR(F66)) + 1, K66="biyear", ROUNDUP(((YEAR(G66) - YEAR(F66)) + 1) / 2, 0), TRUE, "")</f>
        <v/>
      </c>
      <c r="M66" s="33">
        <v>106.9155007</v>
      </c>
      <c r="N66" s="33">
        <v>47.922050900000002</v>
      </c>
    </row>
    <row r="67" spans="1:14" ht="15" customHeight="1">
      <c r="A67" s="26" t="s">
        <v>43</v>
      </c>
      <c r="B67" s="27">
        <v>202001</v>
      </c>
      <c r="C67" s="28" t="s">
        <v>41</v>
      </c>
      <c r="D67" s="28" t="s">
        <v>44</v>
      </c>
      <c r="E67" s="28"/>
      <c r="F67" s="29">
        <v>45763</v>
      </c>
      <c r="G67" s="29">
        <v>46022</v>
      </c>
      <c r="H67" s="29" t="str">
        <f t="shared" ref="H67:H105" ca="1" si="1">IF(ISBLANK(G67), "", IF(INT(G67 - TODAY()) &gt;= 0, "D-" &amp; INT(G67 - TODAY()), "D+" &amp; ABS(INT(G67 - TODAY()))))</f>
        <v>D-44</v>
      </c>
      <c r="I67" s="37" t="s">
        <v>88</v>
      </c>
      <c r="J67" s="31" t="s">
        <v>80</v>
      </c>
      <c r="K67" s="31" t="s">
        <v>138</v>
      </c>
      <c r="L67" s="32" t="str" cm="1">
        <f t="array" ref="L67">_xlfn.IFS(OR(ISBLANK(F67), ISBLANK(G67), ISBLANK(K67)), "", K67="per quarter", (ROUNDUP(MONTH(G67)/3,0) - ROUNDUP(MONTH(F67)/3,0)) + (YEAR(G67) - YEAR(F67)) * 4 + 1, K67="per month", (MONTH(G67) - MONTH(F67)) + (YEAR(G67) - YEAR(F67)) * 12 + 1, K67="bimonthly", ROUNDUP(((MONTH(G67) - MONTH(F67)) + (YEAR(G67) - YEAR(F67)) * 12 + 1) / 2, 0), K67="per year", (YEAR(G67) - YEAR(F67)) + 1, K67="biyear", ROUNDUP(((YEAR(G67) - YEAR(F67)) + 1) / 2, 0), TRUE, "")</f>
        <v/>
      </c>
      <c r="M67" s="33">
        <v>106.9155007</v>
      </c>
      <c r="N67" s="33">
        <v>47.922050900000002</v>
      </c>
    </row>
    <row r="68" spans="1:14" ht="15" customHeight="1">
      <c r="A68" s="26" t="s">
        <v>43</v>
      </c>
      <c r="B68" s="27">
        <v>202001</v>
      </c>
      <c r="C68" s="28" t="s">
        <v>41</v>
      </c>
      <c r="D68" s="28" t="s">
        <v>44</v>
      </c>
      <c r="E68" s="28"/>
      <c r="F68" s="29">
        <v>45763</v>
      </c>
      <c r="G68" s="29">
        <v>46022</v>
      </c>
      <c r="H68" s="29" t="str">
        <f t="shared" ca="1" si="1"/>
        <v>D-44</v>
      </c>
      <c r="I68" s="37" t="s">
        <v>70</v>
      </c>
      <c r="J68" s="31" t="s">
        <v>81</v>
      </c>
      <c r="K68" s="31" t="s">
        <v>136</v>
      </c>
      <c r="L68" s="32" cm="1">
        <f t="array" ref="L68">_xlfn.IFS(OR(ISBLANK(F68), ISBLANK(G68), ISBLANK(K68)), "", K68="per quarter", (ROUNDUP(MONTH(G68)/3,0) - ROUNDUP(MONTH(F68)/3,0)) + (YEAR(G68) - YEAR(F68)) * 4 + 1, K68="per month", (MONTH(G68) - MONTH(F68)) + (YEAR(G68) - YEAR(F68)) * 12 + 1, K68="bimonthly", ROUNDUP(((MONTH(G68) - MONTH(F68)) + (YEAR(G68) - YEAR(F68)) * 12 + 1) / 2, 0), K68="per year", (YEAR(G68) - YEAR(F68)) + 1, K68="biyear", ROUNDUP(((YEAR(G68) - YEAR(F68)) + 1) / 2, 0), TRUE, "")</f>
        <v>1</v>
      </c>
      <c r="M68" s="33">
        <v>106.9155007</v>
      </c>
      <c r="N68" s="33">
        <v>47.922050900000002</v>
      </c>
    </row>
    <row r="69" spans="1:14" ht="15" customHeight="1">
      <c r="A69" s="26" t="s">
        <v>45</v>
      </c>
      <c r="B69" s="27">
        <v>203001</v>
      </c>
      <c r="C69" s="28" t="s">
        <v>41</v>
      </c>
      <c r="D69" s="28" t="s">
        <v>46</v>
      </c>
      <c r="E69" s="28"/>
      <c r="F69" s="34"/>
      <c r="G69" s="34"/>
      <c r="H69" s="35" t="str">
        <f t="shared" ca="1" si="1"/>
        <v/>
      </c>
      <c r="I69" s="27" t="s">
        <v>63</v>
      </c>
      <c r="J69" s="31" t="s">
        <v>63</v>
      </c>
      <c r="K69" s="31" t="s">
        <v>136</v>
      </c>
      <c r="L69" s="32" t="str" cm="1">
        <f t="array" ref="L69">_xlfn.IFS(OR(ISBLANK(F69), ISBLANK(G69), ISBLANK(K69)), "", K69="per quarter", (ROUNDUP(MONTH(G69)/3,0) - ROUNDUP(MONTH(F69)/3,0)) + (YEAR(G69) - YEAR(F69)) * 4 + 1, K69="per month", (MONTH(G69) - MONTH(F69)) + (YEAR(G69) - YEAR(F69)) * 12 + 1, K69="bimonthly", ROUNDUP(((MONTH(G69) - MONTH(F69)) + (YEAR(G69) - YEAR(F69)) * 12 + 1) / 2, 0), K69="per year", (YEAR(G69) - YEAR(F69)) + 1, K69="biyear", ROUNDUP(((YEAR(G69) - YEAR(F69)) + 1) / 2, 0), TRUE, "")</f>
        <v/>
      </c>
      <c r="M69" s="33">
        <v>72.869109199999997</v>
      </c>
      <c r="N69" s="33">
        <v>19.285637399999999</v>
      </c>
    </row>
    <row r="70" spans="1:14" ht="15" customHeight="1">
      <c r="A70" s="26" t="s">
        <v>45</v>
      </c>
      <c r="B70" s="27">
        <v>203001</v>
      </c>
      <c r="C70" s="28" t="s">
        <v>41</v>
      </c>
      <c r="D70" s="28" t="s">
        <v>46</v>
      </c>
      <c r="E70" s="28"/>
      <c r="F70" s="34"/>
      <c r="G70" s="34"/>
      <c r="H70" s="35" t="str">
        <f t="shared" ca="1" si="1"/>
        <v/>
      </c>
      <c r="I70" s="27" t="s">
        <v>86</v>
      </c>
      <c r="J70" s="31" t="s">
        <v>64</v>
      </c>
      <c r="K70" s="31" t="s">
        <v>136</v>
      </c>
      <c r="L70" s="32" t="str" cm="1">
        <f t="array" ref="L70">_xlfn.IFS(OR(ISBLANK(F70), ISBLANK(G70), ISBLANK(K70)), "", K70="per quarter", (ROUNDUP(MONTH(G70)/3,0) - ROUNDUP(MONTH(F70)/3,0)) + (YEAR(G70) - YEAR(F70)) * 4 + 1, K70="per month", (MONTH(G70) - MONTH(F70)) + (YEAR(G70) - YEAR(F70)) * 12 + 1, K70="bimonthly", ROUNDUP(((MONTH(G70) - MONTH(F70)) + (YEAR(G70) - YEAR(F70)) * 12 + 1) / 2, 0), K70="per year", (YEAR(G70) - YEAR(F70)) + 1, K70="biyear", ROUNDUP(((YEAR(G70) - YEAR(F70)) + 1) / 2, 0), TRUE, "")</f>
        <v/>
      </c>
      <c r="M70" s="33">
        <v>72.869109199999997</v>
      </c>
      <c r="N70" s="33">
        <v>19.285637399999999</v>
      </c>
    </row>
    <row r="71" spans="1:14" ht="15" customHeight="1">
      <c r="A71" s="26" t="s">
        <v>45</v>
      </c>
      <c r="B71" s="27">
        <v>203001</v>
      </c>
      <c r="C71" s="28" t="s">
        <v>41</v>
      </c>
      <c r="D71" s="28" t="s">
        <v>46</v>
      </c>
      <c r="E71" s="28"/>
      <c r="F71" s="34"/>
      <c r="G71" s="34"/>
      <c r="H71" s="35" t="str">
        <f t="shared" ca="1" si="1"/>
        <v/>
      </c>
      <c r="I71" s="27" t="s">
        <v>88</v>
      </c>
      <c r="J71" s="31" t="s">
        <v>65</v>
      </c>
      <c r="K71" s="31" t="s">
        <v>136</v>
      </c>
      <c r="L71" s="32" t="str" cm="1">
        <f t="array" ref="L71">_xlfn.IFS(OR(ISBLANK(F71), ISBLANK(G71), ISBLANK(K71)), "", K71="per quarter", (ROUNDUP(MONTH(G71)/3,0) - ROUNDUP(MONTH(F71)/3,0)) + (YEAR(G71) - YEAR(F71)) * 4 + 1, K71="per month", (MONTH(G71) - MONTH(F71)) + (YEAR(G71) - YEAR(F71)) * 12 + 1, K71="bimonthly", ROUNDUP(((MONTH(G71) - MONTH(F71)) + (YEAR(G71) - YEAR(F71)) * 12 + 1) / 2, 0), K71="per year", (YEAR(G71) - YEAR(F71)) + 1, K71="biyear", ROUNDUP(((YEAR(G71) - YEAR(F71)) + 1) / 2, 0), TRUE, "")</f>
        <v/>
      </c>
      <c r="M71" s="33">
        <v>72.869109199999997</v>
      </c>
      <c r="N71" s="33">
        <v>19.285637399999999</v>
      </c>
    </row>
    <row r="72" spans="1:14" ht="15" customHeight="1">
      <c r="A72" s="26" t="s">
        <v>45</v>
      </c>
      <c r="B72" s="27">
        <v>203001</v>
      </c>
      <c r="C72" s="28" t="s">
        <v>41</v>
      </c>
      <c r="D72" s="28" t="s">
        <v>46</v>
      </c>
      <c r="E72" s="28"/>
      <c r="F72" s="34"/>
      <c r="G72" s="34"/>
      <c r="H72" s="35" t="str">
        <f t="shared" ca="1" si="1"/>
        <v/>
      </c>
      <c r="I72" s="27" t="s">
        <v>70</v>
      </c>
      <c r="J72" s="31" t="s">
        <v>66</v>
      </c>
      <c r="K72" s="31" t="s">
        <v>136</v>
      </c>
      <c r="L72" s="32" t="str" cm="1">
        <f t="array" ref="L72">_xlfn.IFS(OR(ISBLANK(F72), ISBLANK(G72), ISBLANK(K72)), "", K72="per quarter", (ROUNDUP(MONTH(G72)/3,0) - ROUNDUP(MONTH(F72)/3,0)) + (YEAR(G72) - YEAR(F72)) * 4 + 1, K72="per month", (MONTH(G72) - MONTH(F72)) + (YEAR(G72) - YEAR(F72)) * 12 + 1, K72="bimonthly", ROUNDUP(((MONTH(G72) - MONTH(F72)) + (YEAR(G72) - YEAR(F72)) * 12 + 1) / 2, 0), K72="per year", (YEAR(G72) - YEAR(F72)) + 1, K72="biyear", ROUNDUP(((YEAR(G72) - YEAR(F72)) + 1) / 2, 0), TRUE, "")</f>
        <v/>
      </c>
      <c r="M72" s="33">
        <v>72.869109199999997</v>
      </c>
      <c r="N72" s="33">
        <v>19.285637399999999</v>
      </c>
    </row>
    <row r="73" spans="1:14" ht="15" customHeight="1">
      <c r="A73" s="26" t="s">
        <v>45</v>
      </c>
      <c r="B73" s="27">
        <v>203001</v>
      </c>
      <c r="C73" s="28" t="s">
        <v>41</v>
      </c>
      <c r="D73" s="28" t="s">
        <v>46</v>
      </c>
      <c r="E73" s="28"/>
      <c r="F73" s="34"/>
      <c r="G73" s="34"/>
      <c r="H73" s="35" t="str">
        <f t="shared" ca="1" si="1"/>
        <v/>
      </c>
      <c r="I73" s="27" t="s">
        <v>70</v>
      </c>
      <c r="J73" s="31" t="s">
        <v>70</v>
      </c>
      <c r="K73" s="31" t="s">
        <v>135</v>
      </c>
      <c r="L73" s="32" t="str" cm="1">
        <f t="array" ref="L73">_xlfn.IFS(OR(ISBLANK(F73), ISBLANK(G73), ISBLANK(K73)), "", K73="per quarter", (ROUNDUP(MONTH(G73)/3,0) - ROUNDUP(MONTH(F73)/3,0)) + (YEAR(G73) - YEAR(F73)) * 4 + 1, K73="per month", (MONTH(G73) - MONTH(F73)) + (YEAR(G73) - YEAR(F73)) * 12 + 1, K73="bimonthly", ROUNDUP(((MONTH(G73) - MONTH(F73)) + (YEAR(G73) - YEAR(F73)) * 12 + 1) / 2, 0), K73="per year", (YEAR(G73) - YEAR(F73)) + 1, K73="biyear", ROUNDUP(((YEAR(G73) - YEAR(F73)) + 1) / 2, 0), TRUE, "")</f>
        <v/>
      </c>
      <c r="M73" s="33">
        <v>72.869109199999997</v>
      </c>
      <c r="N73" s="33">
        <v>19.285637399999999</v>
      </c>
    </row>
    <row r="74" spans="1:14" ht="15" customHeight="1">
      <c r="A74" s="26" t="s">
        <v>47</v>
      </c>
      <c r="B74" s="27">
        <v>203002</v>
      </c>
      <c r="C74" s="28" t="s">
        <v>41</v>
      </c>
      <c r="D74" s="28" t="s">
        <v>46</v>
      </c>
      <c r="E74" s="28"/>
      <c r="F74" s="29">
        <v>45763</v>
      </c>
      <c r="G74" s="29">
        <v>46022</v>
      </c>
      <c r="H74" s="29" t="str">
        <f t="shared" ca="1" si="1"/>
        <v>D-44</v>
      </c>
      <c r="I74" s="37" t="s">
        <v>63</v>
      </c>
      <c r="J74" s="31" t="s">
        <v>63</v>
      </c>
      <c r="K74" s="31" t="s">
        <v>136</v>
      </c>
      <c r="L74" s="32" cm="1">
        <f t="array" ref="L74">_xlfn.IFS(OR(ISBLANK(F74), ISBLANK(G74), ISBLANK(K74)), "", K74="per quarter", (ROUNDUP(MONTH(G74)/3,0) - ROUNDUP(MONTH(F74)/3,0)) + (YEAR(G74) - YEAR(F74)) * 4 + 1, K74="per month", (MONTH(G74) - MONTH(F74)) + (YEAR(G74) - YEAR(F74)) * 12 + 1, K74="bimonthly", ROUNDUP(((MONTH(G74) - MONTH(F74)) + (YEAR(G74) - YEAR(F74)) * 12 + 1) / 2, 0), K74="per year", (YEAR(G74) - YEAR(F74)) + 1, K74="biyear", ROUNDUP(((YEAR(G74) - YEAR(F74)) + 1) / 2, 0), TRUE, "")</f>
        <v>1</v>
      </c>
      <c r="M74" s="33">
        <v>77.102490200000005</v>
      </c>
      <c r="N74" s="33">
        <v>28.7040592</v>
      </c>
    </row>
    <row r="75" spans="1:14" ht="15" customHeight="1">
      <c r="A75" s="26" t="s">
        <v>47</v>
      </c>
      <c r="B75" s="27">
        <v>203002</v>
      </c>
      <c r="C75" s="28" t="s">
        <v>41</v>
      </c>
      <c r="D75" s="28" t="s">
        <v>46</v>
      </c>
      <c r="E75" s="28"/>
      <c r="F75" s="29">
        <v>45763</v>
      </c>
      <c r="G75" s="29">
        <v>46022</v>
      </c>
      <c r="H75" s="29" t="str">
        <f t="shared" ca="1" si="1"/>
        <v>D-44</v>
      </c>
      <c r="I75" s="37" t="s">
        <v>86</v>
      </c>
      <c r="J75" s="31" t="s">
        <v>64</v>
      </c>
      <c r="K75" s="31" t="s">
        <v>136</v>
      </c>
      <c r="L75" s="32" cm="1">
        <f t="array" ref="L75">_xlfn.IFS(OR(ISBLANK(F75), ISBLANK(G75), ISBLANK(K75)), "", K75="per quarter", (ROUNDUP(MONTH(G75)/3,0) - ROUNDUP(MONTH(F75)/3,0)) + (YEAR(G75) - YEAR(F75)) * 4 + 1, K75="per month", (MONTH(G75) - MONTH(F75)) + (YEAR(G75) - YEAR(F75)) * 12 + 1, K75="bimonthly", ROUNDUP(((MONTH(G75) - MONTH(F75)) + (YEAR(G75) - YEAR(F75)) * 12 + 1) / 2, 0), K75="per year", (YEAR(G75) - YEAR(F75)) + 1, K75="biyear", ROUNDUP(((YEAR(G75) - YEAR(F75)) + 1) / 2, 0), TRUE, "")</f>
        <v>1</v>
      </c>
      <c r="M75" s="33">
        <v>77.102490200000005</v>
      </c>
      <c r="N75" s="33">
        <v>28.7040592</v>
      </c>
    </row>
    <row r="76" spans="1:14" ht="15" customHeight="1">
      <c r="A76" s="26" t="s">
        <v>47</v>
      </c>
      <c r="B76" s="27">
        <v>203002</v>
      </c>
      <c r="C76" s="28" t="s">
        <v>41</v>
      </c>
      <c r="D76" s="28" t="s">
        <v>46</v>
      </c>
      <c r="E76" s="28"/>
      <c r="F76" s="29">
        <v>45763</v>
      </c>
      <c r="G76" s="29">
        <v>46022</v>
      </c>
      <c r="H76" s="29" t="str">
        <f t="shared" ca="1" si="1"/>
        <v>D-44</v>
      </c>
      <c r="I76" s="37" t="s">
        <v>88</v>
      </c>
      <c r="J76" s="31" t="s">
        <v>65</v>
      </c>
      <c r="K76" s="31" t="s">
        <v>136</v>
      </c>
      <c r="L76" s="32" cm="1">
        <f t="array" ref="L76">_xlfn.IFS(OR(ISBLANK(F76), ISBLANK(G76), ISBLANK(K76)), "", K76="per quarter", (ROUNDUP(MONTH(G76)/3,0) - ROUNDUP(MONTH(F76)/3,0)) + (YEAR(G76) - YEAR(F76)) * 4 + 1, K76="per month", (MONTH(G76) - MONTH(F76)) + (YEAR(G76) - YEAR(F76)) * 12 + 1, K76="bimonthly", ROUNDUP(((MONTH(G76) - MONTH(F76)) + (YEAR(G76) - YEAR(F76)) * 12 + 1) / 2, 0), K76="per year", (YEAR(G76) - YEAR(F76)) + 1, K76="biyear", ROUNDUP(((YEAR(G76) - YEAR(F76)) + 1) / 2, 0), TRUE, "")</f>
        <v>1</v>
      </c>
      <c r="M76" s="33">
        <v>77.102490200000005</v>
      </c>
      <c r="N76" s="33">
        <v>28.7040592</v>
      </c>
    </row>
    <row r="77" spans="1:14" ht="15" customHeight="1">
      <c r="A77" s="26" t="s">
        <v>47</v>
      </c>
      <c r="B77" s="27">
        <v>203002</v>
      </c>
      <c r="C77" s="28" t="s">
        <v>41</v>
      </c>
      <c r="D77" s="28" t="s">
        <v>46</v>
      </c>
      <c r="E77" s="28"/>
      <c r="F77" s="29">
        <v>45763</v>
      </c>
      <c r="G77" s="29">
        <v>46022</v>
      </c>
      <c r="H77" s="29" t="str">
        <f t="shared" ca="1" si="1"/>
        <v>D-44</v>
      </c>
      <c r="I77" s="37" t="s">
        <v>70</v>
      </c>
      <c r="J77" s="31" t="s">
        <v>66</v>
      </c>
      <c r="K77" s="31" t="s">
        <v>136</v>
      </c>
      <c r="L77" s="32" cm="1">
        <f t="array" ref="L77">_xlfn.IFS(OR(ISBLANK(F77), ISBLANK(G77), ISBLANK(K77)), "", K77="per quarter", (ROUNDUP(MONTH(G77)/3,0) - ROUNDUP(MONTH(F77)/3,0)) + (YEAR(G77) - YEAR(F77)) * 4 + 1, K77="per month", (MONTH(G77) - MONTH(F77)) + (YEAR(G77) - YEAR(F77)) * 12 + 1, K77="bimonthly", ROUNDUP(((MONTH(G77) - MONTH(F77)) + (YEAR(G77) - YEAR(F77)) * 12 + 1) / 2, 0), K77="per year", (YEAR(G77) - YEAR(F77)) + 1, K77="biyear", ROUNDUP(((YEAR(G77) - YEAR(F77)) + 1) / 2, 0), TRUE, "")</f>
        <v>1</v>
      </c>
      <c r="M77" s="33">
        <v>77.102490200000005</v>
      </c>
      <c r="N77" s="33">
        <v>28.7040592</v>
      </c>
    </row>
    <row r="78" spans="1:14" ht="15" customHeight="1">
      <c r="A78" s="26" t="s">
        <v>47</v>
      </c>
      <c r="B78" s="27">
        <v>203002</v>
      </c>
      <c r="C78" s="28" t="s">
        <v>41</v>
      </c>
      <c r="D78" s="28" t="s">
        <v>46</v>
      </c>
      <c r="E78" s="28"/>
      <c r="F78" s="29">
        <v>45763</v>
      </c>
      <c r="G78" s="29">
        <v>46022</v>
      </c>
      <c r="H78" s="29" t="str">
        <f t="shared" ca="1" si="1"/>
        <v>D-44</v>
      </c>
      <c r="I78" s="37" t="s">
        <v>70</v>
      </c>
      <c r="J78" s="31" t="s">
        <v>70</v>
      </c>
      <c r="K78" s="31" t="s">
        <v>135</v>
      </c>
      <c r="L78" s="32" cm="1">
        <f t="array" ref="L78">_xlfn.IFS(OR(ISBLANK(F78), ISBLANK(G78), ISBLANK(K78)), "", K78="per quarter", (ROUNDUP(MONTH(G78)/3,0) - ROUNDUP(MONTH(F78)/3,0)) + (YEAR(G78) - YEAR(F78)) * 4 + 1, K78="per month", (MONTH(G78) - MONTH(F78)) + (YEAR(G78) - YEAR(F78)) * 12 + 1, K78="bimonthly", ROUNDUP(((MONTH(G78) - MONTH(F78)) + (YEAR(G78) - YEAR(F78)) * 12 + 1) / 2, 0), K78="per year", (YEAR(G78) - YEAR(F78)) + 1, K78="biyear", ROUNDUP(((YEAR(G78) - YEAR(F78)) + 1) / 2, 0), TRUE, "")</f>
        <v>3</v>
      </c>
      <c r="M78" s="33">
        <v>77.102490200000005</v>
      </c>
      <c r="N78" s="33">
        <v>28.7040592</v>
      </c>
    </row>
    <row r="79" spans="1:14" ht="15" customHeight="1">
      <c r="A79" s="26" t="s">
        <v>48</v>
      </c>
      <c r="B79" s="27">
        <v>204001</v>
      </c>
      <c r="C79" s="28" t="s">
        <v>41</v>
      </c>
      <c r="D79" s="28" t="s">
        <v>49</v>
      </c>
      <c r="E79" s="28"/>
      <c r="F79" s="29">
        <v>45866</v>
      </c>
      <c r="G79" s="29">
        <v>46231</v>
      </c>
      <c r="H79" s="29" t="str">
        <f t="shared" ca="1" si="1"/>
        <v>D-253</v>
      </c>
      <c r="I79" s="37" t="s">
        <v>90</v>
      </c>
      <c r="J79" s="31" t="s">
        <v>82</v>
      </c>
      <c r="K79" s="31" t="s">
        <v>136</v>
      </c>
      <c r="L79" s="32" cm="1">
        <f t="array" ref="L79">_xlfn.IFS(OR(ISBLANK(F79), ISBLANK(G79), ISBLANK(K79)), "", K79="per quarter", (ROUNDUP(MONTH(G79)/3,0) - ROUNDUP(MONTH(F79)/3,0)) + (YEAR(G79) - YEAR(F79)) * 4 + 1, K79="per month", (MONTH(G79) - MONTH(F79)) + (YEAR(G79) - YEAR(F79)) * 12 + 1, K79="bimonthly", ROUNDUP(((MONTH(G79) - MONTH(F79)) + (YEAR(G79) - YEAR(F79)) * 12 + 1) / 2, 0), K79="per year", (YEAR(G79) - YEAR(F79)) + 1, K79="biyear", ROUNDUP(((YEAR(G79) - YEAR(F79)) + 1) / 2, 0), TRUE, "")</f>
        <v>2</v>
      </c>
      <c r="M79" s="33">
        <v>174.77874629999999</v>
      </c>
      <c r="N79" s="33">
        <v>-41.292381399999996</v>
      </c>
    </row>
    <row r="80" spans="1:14" ht="15" customHeight="1">
      <c r="A80" s="26" t="s">
        <v>48</v>
      </c>
      <c r="B80" s="27">
        <v>204001</v>
      </c>
      <c r="C80" s="28" t="s">
        <v>41</v>
      </c>
      <c r="D80" s="28" t="s">
        <v>49</v>
      </c>
      <c r="E80" s="28"/>
      <c r="F80" s="29">
        <v>45866</v>
      </c>
      <c r="G80" s="29">
        <v>46231</v>
      </c>
      <c r="H80" s="29" t="str">
        <f t="shared" ca="1" si="1"/>
        <v>D-253</v>
      </c>
      <c r="I80" s="37" t="s">
        <v>74</v>
      </c>
      <c r="J80" s="31" t="s">
        <v>74</v>
      </c>
      <c r="K80" s="31" t="s">
        <v>136</v>
      </c>
      <c r="L80" s="32" cm="1">
        <f t="array" ref="L80">_xlfn.IFS(OR(ISBLANK(F80), ISBLANK(G80), ISBLANK(K80)), "", K80="per quarter", (ROUNDUP(MONTH(G80)/3,0) - ROUNDUP(MONTH(F80)/3,0)) + (YEAR(G80) - YEAR(F80)) * 4 + 1, K80="per month", (MONTH(G80) - MONTH(F80)) + (YEAR(G80) - YEAR(F80)) * 12 + 1, K80="bimonthly", ROUNDUP(((MONTH(G80) - MONTH(F80)) + (YEAR(G80) - YEAR(F80)) * 12 + 1) / 2, 0), K80="per year", (YEAR(G80) - YEAR(F80)) + 1, K80="biyear", ROUNDUP(((YEAR(G80) - YEAR(F80)) + 1) / 2, 0), TRUE, "")</f>
        <v>2</v>
      </c>
      <c r="M80" s="33">
        <v>174.77874629999999</v>
      </c>
      <c r="N80" s="33">
        <v>-41.292381399999996</v>
      </c>
    </row>
    <row r="81" spans="1:14" ht="15" customHeight="1">
      <c r="A81" s="26" t="s">
        <v>48</v>
      </c>
      <c r="B81" s="27">
        <v>204001</v>
      </c>
      <c r="C81" s="28" t="s">
        <v>41</v>
      </c>
      <c r="D81" s="28" t="s">
        <v>49</v>
      </c>
      <c r="E81" s="28"/>
      <c r="F81" s="29">
        <v>45866</v>
      </c>
      <c r="G81" s="29">
        <v>46231</v>
      </c>
      <c r="H81" s="29" t="str">
        <f t="shared" ca="1" si="1"/>
        <v>D-253</v>
      </c>
      <c r="I81" s="37" t="s">
        <v>63</v>
      </c>
      <c r="J81" s="31" t="s">
        <v>63</v>
      </c>
      <c r="K81" s="31" t="s">
        <v>136</v>
      </c>
      <c r="L81" s="32" cm="1">
        <f t="array" ref="L81">_xlfn.IFS(OR(ISBLANK(F81), ISBLANK(G81), ISBLANK(K81)), "", K81="per quarter", (ROUNDUP(MONTH(G81)/3,0) - ROUNDUP(MONTH(F81)/3,0)) + (YEAR(G81) - YEAR(F81)) * 4 + 1, K81="per month", (MONTH(G81) - MONTH(F81)) + (YEAR(G81) - YEAR(F81)) * 12 + 1, K81="bimonthly", ROUNDUP(((MONTH(G81) - MONTH(F81)) + (YEAR(G81) - YEAR(F81)) * 12 + 1) / 2, 0), K81="per year", (YEAR(G81) - YEAR(F81)) + 1, K81="biyear", ROUNDUP(((YEAR(G81) - YEAR(F81)) + 1) / 2, 0), TRUE, "")</f>
        <v>2</v>
      </c>
      <c r="M81" s="33">
        <v>174.77874629999999</v>
      </c>
      <c r="N81" s="33">
        <v>-41.292381399999996</v>
      </c>
    </row>
    <row r="82" spans="1:14" ht="15" customHeight="1">
      <c r="A82" s="26" t="s">
        <v>50</v>
      </c>
      <c r="B82" s="27">
        <v>205001</v>
      </c>
      <c r="C82" s="28" t="s">
        <v>41</v>
      </c>
      <c r="D82" s="28" t="s">
        <v>51</v>
      </c>
      <c r="E82" s="28"/>
      <c r="F82" s="29">
        <v>45839</v>
      </c>
      <c r="G82" s="29">
        <v>46203</v>
      </c>
      <c r="H82" s="29" t="str">
        <f t="shared" ca="1" si="1"/>
        <v>D-225</v>
      </c>
      <c r="I82" s="37" t="s">
        <v>70</v>
      </c>
      <c r="J82" s="31" t="s">
        <v>73</v>
      </c>
      <c r="K82" s="31" t="s">
        <v>136</v>
      </c>
      <c r="L82" s="32" cm="1">
        <f t="array" ref="L82">_xlfn.IFS(OR(ISBLANK(F82), ISBLANK(G82), ISBLANK(K82)), "", K82="per quarter", (ROUNDUP(MONTH(G82)/3,0) - ROUNDUP(MONTH(F82)/3,0)) + (YEAR(G82) - YEAR(F82)) * 4 + 1, K82="per month", (MONTH(G82) - MONTH(F82)) + (YEAR(G82) - YEAR(F82)) * 12 + 1, K82="bimonthly", ROUNDUP(((MONTH(G82) - MONTH(F82)) + (YEAR(G82) - YEAR(F82)) * 12 + 1) / 2, 0), K82="per year", (YEAR(G82) - YEAR(F82)) + 1, K82="biyear", ROUNDUP(((YEAR(G82) - YEAR(F82)) + 1) / 2, 0), TRUE, "")</f>
        <v>2</v>
      </c>
      <c r="M82" s="33">
        <v>100.63396950000001</v>
      </c>
      <c r="N82" s="33">
        <v>13.668794200000001</v>
      </c>
    </row>
    <row r="83" spans="1:14" ht="15" customHeight="1">
      <c r="A83" s="26" t="s">
        <v>50</v>
      </c>
      <c r="B83" s="27">
        <v>205001</v>
      </c>
      <c r="C83" s="28" t="s">
        <v>41</v>
      </c>
      <c r="D83" s="28" t="s">
        <v>51</v>
      </c>
      <c r="E83" s="28"/>
      <c r="F83" s="29">
        <v>45839</v>
      </c>
      <c r="G83" s="29">
        <v>46203</v>
      </c>
      <c r="H83" s="29" t="str">
        <f t="shared" ca="1" si="1"/>
        <v>D-225</v>
      </c>
      <c r="I83" s="37" t="s">
        <v>74</v>
      </c>
      <c r="J83" s="31" t="s">
        <v>74</v>
      </c>
      <c r="K83" s="31" t="s">
        <v>136</v>
      </c>
      <c r="L83" s="32" cm="1">
        <f t="array" ref="L83">_xlfn.IFS(OR(ISBLANK(F83), ISBLANK(G83), ISBLANK(K83)), "", K83="per quarter", (ROUNDUP(MONTH(G83)/3,0) - ROUNDUP(MONTH(F83)/3,0)) + (YEAR(G83) - YEAR(F83)) * 4 + 1, K83="per month", (MONTH(G83) - MONTH(F83)) + (YEAR(G83) - YEAR(F83)) * 12 + 1, K83="bimonthly", ROUNDUP(((MONTH(G83) - MONTH(F83)) + (YEAR(G83) - YEAR(F83)) * 12 + 1) / 2, 0), K83="per year", (YEAR(G83) - YEAR(F83)) + 1, K83="biyear", ROUNDUP(((YEAR(G83) - YEAR(F83)) + 1) / 2, 0), TRUE, "")</f>
        <v>2</v>
      </c>
      <c r="M83" s="33">
        <v>100.63396950000001</v>
      </c>
      <c r="N83" s="33">
        <v>13.668794200000001</v>
      </c>
    </row>
    <row r="84" spans="1:14" ht="15" customHeight="1">
      <c r="A84" s="26" t="s">
        <v>50</v>
      </c>
      <c r="B84" s="27">
        <v>205001</v>
      </c>
      <c r="C84" s="28" t="s">
        <v>41</v>
      </c>
      <c r="D84" s="28" t="s">
        <v>51</v>
      </c>
      <c r="E84" s="28"/>
      <c r="F84" s="29">
        <v>45839</v>
      </c>
      <c r="G84" s="29">
        <v>46203</v>
      </c>
      <c r="H84" s="29" t="str">
        <f t="shared" ca="1" si="1"/>
        <v>D-225</v>
      </c>
      <c r="I84" s="37" t="s">
        <v>70</v>
      </c>
      <c r="J84" s="31" t="s">
        <v>75</v>
      </c>
      <c r="K84" s="31" t="s">
        <v>136</v>
      </c>
      <c r="L84" s="32" cm="1">
        <f t="array" ref="L84">_xlfn.IFS(OR(ISBLANK(F84), ISBLANK(G84), ISBLANK(K84)), "", K84="per quarter", (ROUNDUP(MONTH(G84)/3,0) - ROUNDUP(MONTH(F84)/3,0)) + (YEAR(G84) - YEAR(F84)) * 4 + 1, K84="per month", (MONTH(G84) - MONTH(F84)) + (YEAR(G84) - YEAR(F84)) * 12 + 1, K84="bimonthly", ROUNDUP(((MONTH(G84) - MONTH(F84)) + (YEAR(G84) - YEAR(F84)) * 12 + 1) / 2, 0), K84="per year", (YEAR(G84) - YEAR(F84)) + 1, K84="biyear", ROUNDUP(((YEAR(G84) - YEAR(F84)) + 1) / 2, 0), TRUE, "")</f>
        <v>2</v>
      </c>
      <c r="M84" s="33">
        <v>100.63396950000001</v>
      </c>
      <c r="N84" s="33">
        <v>13.668794200000001</v>
      </c>
    </row>
    <row r="85" spans="1:14" ht="15" customHeight="1">
      <c r="A85" s="26" t="s">
        <v>52</v>
      </c>
      <c r="B85" s="27">
        <v>301001</v>
      </c>
      <c r="C85" s="28" t="s">
        <v>53</v>
      </c>
      <c r="D85" s="28" t="s">
        <v>54</v>
      </c>
      <c r="E85" s="28"/>
      <c r="F85" s="29">
        <v>45764</v>
      </c>
      <c r="G85" s="29">
        <v>46022</v>
      </c>
      <c r="H85" s="29" t="str">
        <f t="shared" ca="1" si="1"/>
        <v>D-44</v>
      </c>
      <c r="I85" s="37" t="s">
        <v>86</v>
      </c>
      <c r="J85" s="31" t="s">
        <v>67</v>
      </c>
      <c r="K85" s="31" t="s">
        <v>139</v>
      </c>
      <c r="L85" s="32" cm="1">
        <f t="array" ref="L85">_xlfn.IFS(OR(ISBLANK(F85), ISBLANK(G85), ISBLANK(K85)), "", K85="per quarter", (ROUNDUP(MONTH(G85)/3,0) - ROUNDUP(MONTH(F85)/3,0)) + (YEAR(G85) - YEAR(F85)) * 4 + 1, K85="per month", (MONTH(G85) - MONTH(F85)) + (YEAR(G85) - YEAR(F85)) * 12 + 1, K85="bimonthly", ROUNDUP(((MONTH(G85) - MONTH(F85)) + (YEAR(G85) - YEAR(F85)) * 12 + 1) / 2, 0), K85="per year", (YEAR(G85) - YEAR(F85)) + 1, K85="biyear", ROUNDUP(((YEAR(G85) - YEAR(F85)) + 1) / 2, 0), TRUE, "")</f>
        <v>1</v>
      </c>
      <c r="M85" s="33">
        <v>31.235711599999998</v>
      </c>
      <c r="N85" s="33">
        <v>30.044419600000001</v>
      </c>
    </row>
    <row r="86" spans="1:14" ht="15" customHeight="1">
      <c r="A86" s="26" t="s">
        <v>52</v>
      </c>
      <c r="B86" s="27">
        <v>301001</v>
      </c>
      <c r="C86" s="28" t="s">
        <v>53</v>
      </c>
      <c r="D86" s="28" t="s">
        <v>54</v>
      </c>
      <c r="E86" s="28"/>
      <c r="F86" s="29">
        <v>45764</v>
      </c>
      <c r="G86" s="29">
        <v>46022</v>
      </c>
      <c r="H86" s="29" t="str">
        <f t="shared" ca="1" si="1"/>
        <v>D-44</v>
      </c>
      <c r="I86" s="37" t="s">
        <v>70</v>
      </c>
      <c r="J86" s="31" t="s">
        <v>58</v>
      </c>
      <c r="K86" s="31" t="s">
        <v>139</v>
      </c>
      <c r="L86" s="32" cm="1">
        <f t="array" ref="L86">_xlfn.IFS(OR(ISBLANK(F86), ISBLANK(G86), ISBLANK(K86)), "", K86="per quarter", (ROUNDUP(MONTH(G86)/3,0) - ROUNDUP(MONTH(F86)/3,0)) + (YEAR(G86) - YEAR(F86)) * 4 + 1, K86="per month", (MONTH(G86) - MONTH(F86)) + (YEAR(G86) - YEAR(F86)) * 12 + 1, K86="bimonthly", ROUNDUP(((MONTH(G86) - MONTH(F86)) + (YEAR(G86) - YEAR(F86)) * 12 + 1) / 2, 0), K86="per year", (YEAR(G86) - YEAR(F86)) + 1, K86="biyear", ROUNDUP(((YEAR(G86) - YEAR(F86)) + 1) / 2, 0), TRUE, "")</f>
        <v>1</v>
      </c>
      <c r="M86" s="33">
        <v>31.235711599999998</v>
      </c>
      <c r="N86" s="33">
        <v>30.044419600000001</v>
      </c>
    </row>
    <row r="87" spans="1:14" ht="15" customHeight="1">
      <c r="A87" s="26" t="s">
        <v>52</v>
      </c>
      <c r="B87" s="27">
        <v>301001</v>
      </c>
      <c r="C87" s="28" t="s">
        <v>53</v>
      </c>
      <c r="D87" s="28" t="s">
        <v>54</v>
      </c>
      <c r="E87" s="28"/>
      <c r="F87" s="29">
        <v>45764</v>
      </c>
      <c r="G87" s="29">
        <v>46022</v>
      </c>
      <c r="H87" s="29" t="str">
        <f t="shared" ca="1" si="1"/>
        <v>D-44</v>
      </c>
      <c r="I87" s="37" t="s">
        <v>63</v>
      </c>
      <c r="J87" s="31" t="s">
        <v>83</v>
      </c>
      <c r="K87" s="31" t="s">
        <v>136</v>
      </c>
      <c r="L87" s="32" cm="1">
        <f t="array" ref="L87">_xlfn.IFS(OR(ISBLANK(F87), ISBLANK(G87), ISBLANK(K87)), "", K87="per quarter", (ROUNDUP(MONTH(G87)/3,0) - ROUNDUP(MONTH(F87)/3,0)) + (YEAR(G87) - YEAR(F87)) * 4 + 1, K87="per month", (MONTH(G87) - MONTH(F87)) + (YEAR(G87) - YEAR(F87)) * 12 + 1, K87="bimonthly", ROUNDUP(((MONTH(G87) - MONTH(F87)) + (YEAR(G87) - YEAR(F87)) * 12 + 1) / 2, 0), K87="per year", (YEAR(G87) - YEAR(F87)) + 1, K87="biyear", ROUNDUP(((YEAR(G87) - YEAR(F87)) + 1) / 2, 0), TRUE, "")</f>
        <v>1</v>
      </c>
      <c r="M87" s="33">
        <v>31.235711599999998</v>
      </c>
      <c r="N87" s="33">
        <v>30.044419600000001</v>
      </c>
    </row>
    <row r="88" spans="1:14" ht="15" customHeight="1">
      <c r="A88" s="26" t="s">
        <v>52</v>
      </c>
      <c r="B88" s="27">
        <v>301001</v>
      </c>
      <c r="C88" s="28" t="s">
        <v>53</v>
      </c>
      <c r="D88" s="28" t="s">
        <v>54</v>
      </c>
      <c r="E88" s="28"/>
      <c r="F88" s="29">
        <v>45764</v>
      </c>
      <c r="G88" s="29">
        <v>46022</v>
      </c>
      <c r="H88" s="29" t="str">
        <f t="shared" ca="1" si="1"/>
        <v>D-44</v>
      </c>
      <c r="I88" s="37" t="s">
        <v>87</v>
      </c>
      <c r="J88" s="31" t="s">
        <v>69</v>
      </c>
      <c r="K88" s="31" t="s">
        <v>136</v>
      </c>
      <c r="L88" s="32" cm="1">
        <f t="array" ref="L88">_xlfn.IFS(OR(ISBLANK(F88), ISBLANK(G88), ISBLANK(K88)), "", K88="per quarter", (ROUNDUP(MONTH(G88)/3,0) - ROUNDUP(MONTH(F88)/3,0)) + (YEAR(G88) - YEAR(F88)) * 4 + 1, K88="per month", (MONTH(G88) - MONTH(F88)) + (YEAR(G88) - YEAR(F88)) * 12 + 1, K88="bimonthly", ROUNDUP(((MONTH(G88) - MONTH(F88)) + (YEAR(G88) - YEAR(F88)) * 12 + 1) / 2, 0), K88="per year", (YEAR(G88) - YEAR(F88)) + 1, K88="biyear", ROUNDUP(((YEAR(G88) - YEAR(F88)) + 1) / 2, 0), TRUE, "")</f>
        <v>1</v>
      </c>
      <c r="M88" s="33">
        <v>31.235711599999998</v>
      </c>
      <c r="N88" s="33">
        <v>30.044419600000001</v>
      </c>
    </row>
    <row r="89" spans="1:14" ht="15" customHeight="1">
      <c r="A89" s="26" t="s">
        <v>55</v>
      </c>
      <c r="B89" s="27">
        <v>301002</v>
      </c>
      <c r="C89" s="28" t="s">
        <v>53</v>
      </c>
      <c r="D89" s="28" t="s">
        <v>54</v>
      </c>
      <c r="E89" s="28"/>
      <c r="F89" s="29">
        <v>45764</v>
      </c>
      <c r="G89" s="29">
        <v>46022</v>
      </c>
      <c r="H89" s="29" t="str">
        <f t="shared" ca="1" si="1"/>
        <v>D-44</v>
      </c>
      <c r="I89" s="37" t="s">
        <v>86</v>
      </c>
      <c r="J89" s="31" t="s">
        <v>67</v>
      </c>
      <c r="K89" s="31" t="s">
        <v>139</v>
      </c>
      <c r="L89" s="32" cm="1">
        <f t="array" ref="L89">_xlfn.IFS(OR(ISBLANK(F89), ISBLANK(G89), ISBLANK(K89)), "", K89="per quarter", (ROUNDUP(MONTH(G89)/3,0) - ROUNDUP(MONTH(F89)/3,0)) + (YEAR(G89) - YEAR(F89)) * 4 + 1, K89="per month", (MONTH(G89) - MONTH(F89)) + (YEAR(G89) - YEAR(F89)) * 12 + 1, K89="bimonthly", ROUNDUP(((MONTH(G89) - MONTH(F89)) + (YEAR(G89) - YEAR(F89)) * 12 + 1) / 2, 0), K89="per year", (YEAR(G89) - YEAR(F89)) + 1, K89="biyear", ROUNDUP(((YEAR(G89) - YEAR(F89)) + 1) / 2, 0), TRUE, "")</f>
        <v>1</v>
      </c>
      <c r="M89" s="33">
        <v>31.4758292</v>
      </c>
      <c r="N89" s="33">
        <v>30.0362899</v>
      </c>
    </row>
    <row r="90" spans="1:14" ht="15" customHeight="1">
      <c r="A90" s="26" t="s">
        <v>55</v>
      </c>
      <c r="B90" s="27">
        <v>301002</v>
      </c>
      <c r="C90" s="28" t="s">
        <v>53</v>
      </c>
      <c r="D90" s="28" t="s">
        <v>54</v>
      </c>
      <c r="E90" s="28"/>
      <c r="F90" s="29">
        <v>45764</v>
      </c>
      <c r="G90" s="29">
        <v>46022</v>
      </c>
      <c r="H90" s="29" t="str">
        <f t="shared" ca="1" si="1"/>
        <v>D-44</v>
      </c>
      <c r="I90" s="37" t="s">
        <v>70</v>
      </c>
      <c r="J90" s="31" t="s">
        <v>58</v>
      </c>
      <c r="K90" s="31" t="s">
        <v>139</v>
      </c>
      <c r="L90" s="32" cm="1">
        <f t="array" ref="L90">_xlfn.IFS(OR(ISBLANK(F90), ISBLANK(G90), ISBLANK(K90)), "", K90="per quarter", (ROUNDUP(MONTH(G90)/3,0) - ROUNDUP(MONTH(F90)/3,0)) + (YEAR(G90) - YEAR(F90)) * 4 + 1, K90="per month", (MONTH(G90) - MONTH(F90)) + (YEAR(G90) - YEAR(F90)) * 12 + 1, K90="bimonthly", ROUNDUP(((MONTH(G90) - MONTH(F90)) + (YEAR(G90) - YEAR(F90)) * 12 + 1) / 2, 0), K90="per year", (YEAR(G90) - YEAR(F90)) + 1, K90="biyear", ROUNDUP(((YEAR(G90) - YEAR(F90)) + 1) / 2, 0), TRUE, "")</f>
        <v>1</v>
      </c>
      <c r="M90" s="33">
        <v>31.4758292</v>
      </c>
      <c r="N90" s="33">
        <v>30.0362899</v>
      </c>
    </row>
    <row r="91" spans="1:14" ht="15" customHeight="1">
      <c r="A91" s="26" t="s">
        <v>55</v>
      </c>
      <c r="B91" s="27">
        <v>301002</v>
      </c>
      <c r="C91" s="28" t="s">
        <v>53</v>
      </c>
      <c r="D91" s="28" t="s">
        <v>54</v>
      </c>
      <c r="E91" s="28"/>
      <c r="F91" s="29">
        <v>45764</v>
      </c>
      <c r="G91" s="29">
        <v>46022</v>
      </c>
      <c r="H91" s="29" t="str">
        <f t="shared" ca="1" si="1"/>
        <v>D-44</v>
      </c>
      <c r="I91" s="37" t="s">
        <v>63</v>
      </c>
      <c r="J91" s="31" t="s">
        <v>83</v>
      </c>
      <c r="K91" s="31" t="s">
        <v>136</v>
      </c>
      <c r="L91" s="32" cm="1">
        <f t="array" ref="L91">_xlfn.IFS(OR(ISBLANK(F91), ISBLANK(G91), ISBLANK(K91)), "", K91="per quarter", (ROUNDUP(MONTH(G91)/3,0) - ROUNDUP(MONTH(F91)/3,0)) + (YEAR(G91) - YEAR(F91)) * 4 + 1, K91="per month", (MONTH(G91) - MONTH(F91)) + (YEAR(G91) - YEAR(F91)) * 12 + 1, K91="bimonthly", ROUNDUP(((MONTH(G91) - MONTH(F91)) + (YEAR(G91) - YEAR(F91)) * 12 + 1) / 2, 0), K91="per year", (YEAR(G91) - YEAR(F91)) + 1, K91="biyear", ROUNDUP(((YEAR(G91) - YEAR(F91)) + 1) / 2, 0), TRUE, "")</f>
        <v>1</v>
      </c>
      <c r="M91" s="33">
        <v>31.4758292</v>
      </c>
      <c r="N91" s="33">
        <v>30.0362899</v>
      </c>
    </row>
    <row r="92" spans="1:14" ht="15" customHeight="1">
      <c r="A92" s="26" t="s">
        <v>55</v>
      </c>
      <c r="B92" s="27">
        <v>301002</v>
      </c>
      <c r="C92" s="28" t="s">
        <v>53</v>
      </c>
      <c r="D92" s="28" t="s">
        <v>54</v>
      </c>
      <c r="E92" s="28"/>
      <c r="F92" s="29">
        <v>45764</v>
      </c>
      <c r="G92" s="29">
        <v>46022</v>
      </c>
      <c r="H92" s="29" t="str">
        <f t="shared" ca="1" si="1"/>
        <v>D-44</v>
      </c>
      <c r="I92" s="37" t="s">
        <v>87</v>
      </c>
      <c r="J92" s="31" t="s">
        <v>69</v>
      </c>
      <c r="K92" s="31" t="s">
        <v>136</v>
      </c>
      <c r="L92" s="32" cm="1">
        <f t="array" ref="L92">_xlfn.IFS(OR(ISBLANK(F92), ISBLANK(G92), ISBLANK(K92)), "", K92="per quarter", (ROUNDUP(MONTH(G92)/3,0) - ROUNDUP(MONTH(F92)/3,0)) + (YEAR(G92) - YEAR(F92)) * 4 + 1, K92="per month", (MONTH(G92) - MONTH(F92)) + (YEAR(G92) - YEAR(F92)) * 12 + 1, K92="bimonthly", ROUNDUP(((MONTH(G92) - MONTH(F92)) + (YEAR(G92) - YEAR(F92)) * 12 + 1) / 2, 0), K92="per year", (YEAR(G92) - YEAR(F92)) + 1, K92="biyear", ROUNDUP(((YEAR(G92) - YEAR(F92)) + 1) / 2, 0), TRUE, "")</f>
        <v>1</v>
      </c>
      <c r="M92" s="33">
        <v>31.4758292</v>
      </c>
      <c r="N92" s="33">
        <v>30.0362899</v>
      </c>
    </row>
    <row r="93" spans="1:14" ht="15" customHeight="1">
      <c r="A93" s="26" t="s">
        <v>56</v>
      </c>
      <c r="B93" s="27">
        <v>301003</v>
      </c>
      <c r="C93" s="28" t="s">
        <v>53</v>
      </c>
      <c r="D93" s="28" t="s">
        <v>54</v>
      </c>
      <c r="E93" s="28"/>
      <c r="F93" s="29">
        <v>45764</v>
      </c>
      <c r="G93" s="29">
        <v>46022</v>
      </c>
      <c r="H93" s="29" t="str">
        <f t="shared" ca="1" si="1"/>
        <v>D-44</v>
      </c>
      <c r="I93" s="37" t="s">
        <v>86</v>
      </c>
      <c r="J93" s="31" t="s">
        <v>67</v>
      </c>
      <c r="K93" s="31" t="s">
        <v>139</v>
      </c>
      <c r="L93" s="32" cm="1">
        <f t="array" ref="L93">_xlfn.IFS(OR(ISBLANK(F93), ISBLANK(G93), ISBLANK(K93)), "", K93="per quarter", (ROUNDUP(MONTH(G93)/3,0) - ROUNDUP(MONTH(F93)/3,0)) + (YEAR(G93) - YEAR(F93)) * 4 + 1, K93="per month", (MONTH(G93) - MONTH(F93)) + (YEAR(G93) - YEAR(F93)) * 12 + 1, K93="bimonthly", ROUNDUP(((MONTH(G93) - MONTH(F93)) + (YEAR(G93) - YEAR(F93)) * 12 + 1) / 2, 0), K93="per year", (YEAR(G93) - YEAR(F93)) + 1, K93="biyear", ROUNDUP(((YEAR(G93) - YEAR(F93)) + 1) / 2, 0), TRUE, "")</f>
        <v>1</v>
      </c>
      <c r="M93" s="33">
        <v>29.918738699999999</v>
      </c>
      <c r="N93" s="33">
        <v>31.200092399999999</v>
      </c>
    </row>
    <row r="94" spans="1:14" ht="15" customHeight="1">
      <c r="A94" s="26" t="s">
        <v>56</v>
      </c>
      <c r="B94" s="27">
        <v>301003</v>
      </c>
      <c r="C94" s="28" t="s">
        <v>53</v>
      </c>
      <c r="D94" s="28" t="s">
        <v>54</v>
      </c>
      <c r="E94" s="28"/>
      <c r="F94" s="29">
        <v>45764</v>
      </c>
      <c r="G94" s="29">
        <v>46022</v>
      </c>
      <c r="H94" s="29" t="str">
        <f t="shared" ca="1" si="1"/>
        <v>D-44</v>
      </c>
      <c r="I94" s="37" t="s">
        <v>70</v>
      </c>
      <c r="J94" s="31" t="s">
        <v>58</v>
      </c>
      <c r="K94" s="31" t="s">
        <v>139</v>
      </c>
      <c r="L94" s="32" cm="1">
        <f t="array" ref="L94">_xlfn.IFS(OR(ISBLANK(F94), ISBLANK(G94), ISBLANK(K94)), "", K94="per quarter", (ROUNDUP(MONTH(G94)/3,0) - ROUNDUP(MONTH(F94)/3,0)) + (YEAR(G94) - YEAR(F94)) * 4 + 1, K94="per month", (MONTH(G94) - MONTH(F94)) + (YEAR(G94) - YEAR(F94)) * 12 + 1, K94="bimonthly", ROUNDUP(((MONTH(G94) - MONTH(F94)) + (YEAR(G94) - YEAR(F94)) * 12 + 1) / 2, 0), K94="per year", (YEAR(G94) - YEAR(F94)) + 1, K94="biyear", ROUNDUP(((YEAR(G94) - YEAR(F94)) + 1) / 2, 0), TRUE, "")</f>
        <v>1</v>
      </c>
      <c r="M94" s="33">
        <v>29.918738699999999</v>
      </c>
      <c r="N94" s="33">
        <v>31.200092399999999</v>
      </c>
    </row>
    <row r="95" spans="1:14" ht="15" customHeight="1">
      <c r="A95" s="26" t="s">
        <v>56</v>
      </c>
      <c r="B95" s="27">
        <v>301003</v>
      </c>
      <c r="C95" s="28" t="s">
        <v>53</v>
      </c>
      <c r="D95" s="28" t="s">
        <v>54</v>
      </c>
      <c r="E95" s="28"/>
      <c r="F95" s="29">
        <v>45764</v>
      </c>
      <c r="G95" s="29">
        <v>46022</v>
      </c>
      <c r="H95" s="29" t="str">
        <f t="shared" ca="1" si="1"/>
        <v>D-44</v>
      </c>
      <c r="I95" s="37" t="s">
        <v>88</v>
      </c>
      <c r="J95" s="31" t="s">
        <v>84</v>
      </c>
      <c r="K95" s="31" t="s">
        <v>136</v>
      </c>
      <c r="L95" s="32" cm="1">
        <f t="array" ref="L95">_xlfn.IFS(OR(ISBLANK(F95), ISBLANK(G95), ISBLANK(K95)), "", K95="per quarter", (ROUNDUP(MONTH(G95)/3,0) - ROUNDUP(MONTH(F95)/3,0)) + (YEAR(G95) - YEAR(F95)) * 4 + 1, K95="per month", (MONTH(G95) - MONTH(F95)) + (YEAR(G95) - YEAR(F95)) * 12 + 1, K95="bimonthly", ROUNDUP(((MONTH(G95) - MONTH(F95)) + (YEAR(G95) - YEAR(F95)) * 12 + 1) / 2, 0), K95="per year", (YEAR(G95) - YEAR(F95)) + 1, K95="biyear", ROUNDUP(((YEAR(G95) - YEAR(F95)) + 1) / 2, 0), TRUE, "")</f>
        <v>1</v>
      </c>
      <c r="M95" s="33">
        <v>29.918738699999999</v>
      </c>
      <c r="N95" s="33">
        <v>31.200092399999999</v>
      </c>
    </row>
    <row r="96" spans="1:14" ht="15" customHeight="1">
      <c r="A96" s="26" t="s">
        <v>56</v>
      </c>
      <c r="B96" s="27">
        <v>301003</v>
      </c>
      <c r="C96" s="28" t="s">
        <v>53</v>
      </c>
      <c r="D96" s="28" t="s">
        <v>54</v>
      </c>
      <c r="E96" s="28"/>
      <c r="F96" s="29">
        <v>45764</v>
      </c>
      <c r="G96" s="29">
        <v>46022</v>
      </c>
      <c r="H96" s="29" t="str">
        <f t="shared" ca="1" si="1"/>
        <v>D-44</v>
      </c>
      <c r="I96" s="37" t="s">
        <v>87</v>
      </c>
      <c r="J96" s="31" t="s">
        <v>69</v>
      </c>
      <c r="K96" s="31" t="s">
        <v>136</v>
      </c>
      <c r="L96" s="32" cm="1">
        <f t="array" ref="L96">_xlfn.IFS(OR(ISBLANK(F96), ISBLANK(G96), ISBLANK(K96)), "", K96="per quarter", (ROUNDUP(MONTH(G96)/3,0) - ROUNDUP(MONTH(F96)/3,0)) + (YEAR(G96) - YEAR(F96)) * 4 + 1, K96="per month", (MONTH(G96) - MONTH(F96)) + (YEAR(G96) - YEAR(F96)) * 12 + 1, K96="bimonthly", ROUNDUP(((MONTH(G96) - MONTH(F96)) + (YEAR(G96) - YEAR(F96)) * 12 + 1) / 2, 0), K96="per year", (YEAR(G96) - YEAR(F96)) + 1, K96="biyear", ROUNDUP(((YEAR(G96) - YEAR(F96)) + 1) / 2, 0), TRUE, "")</f>
        <v>1</v>
      </c>
      <c r="M96" s="33">
        <v>29.918738699999999</v>
      </c>
      <c r="N96" s="33">
        <v>31.200092399999999</v>
      </c>
    </row>
    <row r="97" spans="1:14" ht="15" customHeight="1">
      <c r="A97" s="26" t="s">
        <v>114</v>
      </c>
      <c r="B97" s="27">
        <v>206001</v>
      </c>
      <c r="C97" s="28" t="s">
        <v>128</v>
      </c>
      <c r="D97" s="28" t="s">
        <v>127</v>
      </c>
      <c r="E97" s="28"/>
      <c r="F97" s="29">
        <v>45883</v>
      </c>
      <c r="G97" s="29">
        <v>46247</v>
      </c>
      <c r="H97" s="29" t="str">
        <f t="shared" ca="1" si="1"/>
        <v>D-269</v>
      </c>
      <c r="I97" s="37" t="s">
        <v>63</v>
      </c>
      <c r="J97" s="31" t="s">
        <v>129</v>
      </c>
      <c r="K97" s="31" t="s">
        <v>140</v>
      </c>
      <c r="L97" s="32" cm="1">
        <f t="array" ref="L97">_xlfn.IFS(OR(ISBLANK(F97), ISBLANK(G97), ISBLANK(K97)), "", K97="per quarter", (ROUNDUP(MONTH(G97)/3,0) - ROUNDUP(MONTH(F97)/3,0)) + (YEAR(G97) - YEAR(F97)) * 4 + 1, K97="per month", (MONTH(G97) - MONTH(F97)) + (YEAR(G97) - YEAR(F97)) * 12 + 1, K97="bimonthly", ROUNDUP(((MONTH(G97) - MONTH(F97)) + (YEAR(G97) - YEAR(F97)) * 12 + 1) / 2, 0), K97="per year", (YEAR(G97) - YEAR(F97)) + 1, K97="biyear", ROUNDUP(((YEAR(G97) - YEAR(F97)) + 1) / 2, 0), TRUE, "")</f>
        <v>2</v>
      </c>
      <c r="M97" s="33">
        <v>69.331626299999996</v>
      </c>
      <c r="N97" s="33">
        <v>41.332147399999997</v>
      </c>
    </row>
    <row r="98" spans="1:14" ht="15" customHeight="1">
      <c r="A98" s="26" t="s">
        <v>114</v>
      </c>
      <c r="B98" s="27">
        <v>206001</v>
      </c>
      <c r="C98" s="28" t="s">
        <v>128</v>
      </c>
      <c r="D98" s="28" t="s">
        <v>127</v>
      </c>
      <c r="E98" s="28"/>
      <c r="F98" s="29">
        <v>45883</v>
      </c>
      <c r="G98" s="29">
        <v>46247</v>
      </c>
      <c r="H98" s="29" t="str">
        <f t="shared" ca="1" si="1"/>
        <v>D-269</v>
      </c>
      <c r="I98" s="37" t="s">
        <v>86</v>
      </c>
      <c r="J98" s="31" t="s">
        <v>130</v>
      </c>
      <c r="K98" s="31" t="s">
        <v>140</v>
      </c>
      <c r="L98" s="32" cm="1">
        <f t="array" ref="L98">_xlfn.IFS(OR(ISBLANK(F98), ISBLANK(G98), ISBLANK(K98)), "", K98="per quarter", (ROUNDUP(MONTH(G98)/3,0) - ROUNDUP(MONTH(F98)/3,0)) + (YEAR(G98) - YEAR(F98)) * 4 + 1, K98="per month", (MONTH(G98) - MONTH(F98)) + (YEAR(G98) - YEAR(F98)) * 12 + 1, K98="bimonthly", ROUNDUP(((MONTH(G98) - MONTH(F98)) + (YEAR(G98) - YEAR(F98)) * 12 + 1) / 2, 0), K98="per year", (YEAR(G98) - YEAR(F98)) + 1, K98="biyear", ROUNDUP(((YEAR(G98) - YEAR(F98)) + 1) / 2, 0), TRUE, "")</f>
        <v>2</v>
      </c>
      <c r="M98" s="33">
        <v>69.331626299999996</v>
      </c>
      <c r="N98" s="33">
        <v>41.332147399999997</v>
      </c>
    </row>
    <row r="99" spans="1:14" ht="15" customHeight="1">
      <c r="A99" s="26" t="s">
        <v>114</v>
      </c>
      <c r="B99" s="27">
        <v>206001</v>
      </c>
      <c r="C99" s="28" t="s">
        <v>128</v>
      </c>
      <c r="D99" s="28" t="s">
        <v>127</v>
      </c>
      <c r="E99" s="28"/>
      <c r="F99" s="29">
        <v>45883</v>
      </c>
      <c r="G99" s="29">
        <v>46247</v>
      </c>
      <c r="H99" s="29" t="str">
        <f t="shared" ca="1" si="1"/>
        <v>D-269</v>
      </c>
      <c r="I99" s="27" t="s">
        <v>88</v>
      </c>
      <c r="J99" s="31" t="s">
        <v>131</v>
      </c>
      <c r="K99" s="31" t="s">
        <v>140</v>
      </c>
      <c r="L99" s="32" cm="1">
        <f t="array" ref="L99">_xlfn.IFS(OR(ISBLANK(F99), ISBLANK(G99), ISBLANK(K99)), "", K99="per quarter", (ROUNDUP(MONTH(G99)/3,0) - ROUNDUP(MONTH(F99)/3,0)) + (YEAR(G99) - YEAR(F99)) * 4 + 1, K99="per month", (MONTH(G99) - MONTH(F99)) + (YEAR(G99) - YEAR(F99)) * 12 + 1, K99="bimonthly", ROUNDUP(((MONTH(G99) - MONTH(F99)) + (YEAR(G99) - YEAR(F99)) * 12 + 1) / 2, 0), K99="per year", (YEAR(G99) - YEAR(F99)) + 1, K99="biyear", ROUNDUP(((YEAR(G99) - YEAR(F99)) + 1) / 2, 0), TRUE, "")</f>
        <v>2</v>
      </c>
      <c r="M99" s="33">
        <v>69.331626299999996</v>
      </c>
      <c r="N99" s="33">
        <v>41.332147399999997</v>
      </c>
    </row>
    <row r="100" spans="1:14" ht="15" customHeight="1">
      <c r="A100" s="26" t="s">
        <v>114</v>
      </c>
      <c r="B100" s="27">
        <v>206001</v>
      </c>
      <c r="C100" s="28" t="s">
        <v>128</v>
      </c>
      <c r="D100" s="28" t="s">
        <v>127</v>
      </c>
      <c r="E100" s="28"/>
      <c r="F100" s="29">
        <v>45883</v>
      </c>
      <c r="G100" s="29">
        <v>46247</v>
      </c>
      <c r="H100" s="29" t="str">
        <f t="shared" ca="1" si="1"/>
        <v>D-269</v>
      </c>
      <c r="I100" s="37" t="s">
        <v>70</v>
      </c>
      <c r="J100" s="31" t="s">
        <v>132</v>
      </c>
      <c r="K100" s="31" t="s">
        <v>140</v>
      </c>
      <c r="L100" s="32" cm="1">
        <f t="array" ref="L100">_xlfn.IFS(OR(ISBLANK(F100), ISBLANK(G100), ISBLANK(K100)), "", K100="per quarter", (ROUNDUP(MONTH(G100)/3,0) - ROUNDUP(MONTH(F100)/3,0)) + (YEAR(G100) - YEAR(F100)) * 4 + 1, K100="per month", (MONTH(G100) - MONTH(F100)) + (YEAR(G100) - YEAR(F100)) * 12 + 1, K100="bimonthly", ROUNDUP(((MONTH(G100) - MONTH(F100)) + (YEAR(G100) - YEAR(F100)) * 12 + 1) / 2, 0), K100="per year", (YEAR(G100) - YEAR(F100)) + 1, K100="biyear", ROUNDUP(((YEAR(G100) - YEAR(F100)) + 1) / 2, 0), TRUE, "")</f>
        <v>2</v>
      </c>
      <c r="M100" s="33">
        <v>69.331626299999996</v>
      </c>
      <c r="N100" s="33">
        <v>41.332147399999997</v>
      </c>
    </row>
    <row r="101" spans="1:14" ht="15" customHeight="1">
      <c r="A101" s="38" t="s">
        <v>120</v>
      </c>
      <c r="B101" s="39"/>
      <c r="C101" s="40"/>
      <c r="D101" s="40"/>
      <c r="E101" s="40"/>
      <c r="F101" s="41"/>
      <c r="G101" s="41"/>
      <c r="H101" s="41" t="str">
        <f t="shared" ca="1" si="1"/>
        <v/>
      </c>
      <c r="I101" s="42"/>
      <c r="J101" s="43"/>
      <c r="K101" s="43"/>
      <c r="L101" s="44" t="str" cm="1">
        <f t="array" ref="L101">_xlfn.IFS(OR(ISBLANK(F101), ISBLANK(G101), ISBLANK(K101)), "", K101="per quarter", (ROUNDUP(MONTH(G101)/3,0) - ROUNDUP(MONTH(F101)/3,0)) + (YEAR(G101) - YEAR(F101)) * 4 + 1, K101="per month", (MONTH(G101) - MONTH(F101)) + (YEAR(G101) - YEAR(F101)) * 12 + 1, K101="bimonthly", ROUNDUP(((MONTH(G101) - MONTH(F101)) + (YEAR(G101) - YEAR(F101)) * 12 + 1) / 2, 0), K101="per year", (YEAR(G101) - YEAR(F101)) + 1, K101="biyear", ROUNDUP(((YEAR(G101) - YEAR(F101)) + 1) / 2, 0), TRUE, "")</f>
        <v/>
      </c>
      <c r="M101" s="33">
        <v>151.2001329</v>
      </c>
      <c r="N101" s="33">
        <v>-33.827468500000002</v>
      </c>
    </row>
    <row r="102" spans="1:14" ht="15" customHeight="1">
      <c r="A102" s="38" t="s">
        <v>122</v>
      </c>
      <c r="B102" s="39"/>
      <c r="C102" s="40"/>
      <c r="D102" s="40"/>
      <c r="E102" s="40"/>
      <c r="F102" s="41"/>
      <c r="G102" s="41"/>
      <c r="H102" s="41" t="str">
        <f t="shared" ca="1" si="1"/>
        <v/>
      </c>
      <c r="I102" s="42"/>
      <c r="J102" s="43"/>
      <c r="K102" s="43"/>
      <c r="L102" s="44" t="str" cm="1">
        <f t="array" ref="L102">_xlfn.IFS(OR(ISBLANK(F102), ISBLANK(G102), ISBLANK(K102)), "", K102="per quarter", (ROUNDUP(MONTH(G102)/3,0) - ROUNDUP(MONTH(F102)/3,0)) + (YEAR(G102) - YEAR(F102)) * 4 + 1, K102="per month", (MONTH(G102) - MONTH(F102)) + (YEAR(G102) - YEAR(F102)) * 12 + 1, K102="bimonthly", ROUNDUP(((MONTH(G102) - MONTH(F102)) + (YEAR(G102) - YEAR(F102)) * 12 + 1) / 2, 0), K102="per year", (YEAR(G102) - YEAR(F102)) + 1, K102="biyear", ROUNDUP(((YEAR(G102) - YEAR(F102)) + 1) / 2, 0), TRUE, "")</f>
        <v/>
      </c>
      <c r="M102" s="33">
        <v>151.2423829</v>
      </c>
      <c r="N102" s="33">
        <v>-33.920067899999999</v>
      </c>
    </row>
    <row r="103" spans="1:14" ht="15" customHeight="1">
      <c r="A103" s="38" t="s">
        <v>123</v>
      </c>
      <c r="B103" s="39"/>
      <c r="C103" s="40"/>
      <c r="D103" s="40"/>
      <c r="E103" s="40"/>
      <c r="F103" s="41"/>
      <c r="G103" s="41"/>
      <c r="H103" s="41" t="str">
        <f t="shared" ca="1" si="1"/>
        <v/>
      </c>
      <c r="I103" s="42"/>
      <c r="J103" s="43"/>
      <c r="K103" s="43"/>
      <c r="L103" s="44" t="str" cm="1">
        <f t="array" ref="L103">_xlfn.IFS(OR(ISBLANK(F103), ISBLANK(G103), ISBLANK(K103)), "", K103="per quarter", (ROUNDUP(MONTH(G103)/3,0) - ROUNDUP(MONTH(F103)/3,0)) + (YEAR(G103) - YEAR(F103)) * 4 + 1, K103="per month", (MONTH(G103) - MONTH(F103)) + (YEAR(G103) - YEAR(F103)) * 12 + 1, K103="bimonthly", ROUNDUP(((MONTH(G103) - MONTH(F103)) + (YEAR(G103) - YEAR(F103)) * 12 + 1) / 2, 0), K103="per year", (YEAR(G103) - YEAR(F103)) + 1, K103="biyear", ROUNDUP(((YEAR(G103) - YEAR(F103)) + 1) / 2, 0), TRUE, "")</f>
        <v/>
      </c>
      <c r="M103" s="33">
        <v>45.446207299999998</v>
      </c>
      <c r="N103" s="33">
        <v>35.557110199999997</v>
      </c>
    </row>
    <row r="104" spans="1:14" ht="15" customHeight="1">
      <c r="A104" s="38" t="s">
        <v>124</v>
      </c>
      <c r="B104" s="39"/>
      <c r="C104" s="40"/>
      <c r="D104" s="40"/>
      <c r="E104" s="40"/>
      <c r="F104" s="41"/>
      <c r="G104" s="41"/>
      <c r="H104" s="41" t="str">
        <f t="shared" ca="1" si="1"/>
        <v/>
      </c>
      <c r="I104" s="42"/>
      <c r="J104" s="43"/>
      <c r="K104" s="43"/>
      <c r="L104" s="44" t="str" cm="1">
        <f t="array" ref="L104">_xlfn.IFS(OR(ISBLANK(F104), ISBLANK(G104), ISBLANK(K104)), "", K104="per quarter", (ROUNDUP(MONTH(G104)/3,0) - ROUNDUP(MONTH(F104)/3,0)) + (YEAR(G104) - YEAR(F104)) * 4 + 1, K104="per month", (MONTH(G104) - MONTH(F104)) + (YEAR(G104) - YEAR(F104)) * 12 + 1, K104="bimonthly", ROUNDUP(((MONTH(G104) - MONTH(F104)) + (YEAR(G104) - YEAR(F104)) * 12 + 1) / 2, 0), K104="per year", (YEAR(G104) - YEAR(F104)) + 1, K104="biyear", ROUNDUP(((YEAR(G104) - YEAR(F104)) + 1) / 2, 0), TRUE, "")</f>
        <v/>
      </c>
      <c r="M104" s="33">
        <v>44.054870299999997</v>
      </c>
      <c r="N104" s="33">
        <v>36.242489300000003</v>
      </c>
    </row>
    <row r="105" spans="1:14" ht="15" customHeight="1">
      <c r="A105" s="38" t="s">
        <v>122</v>
      </c>
      <c r="B105" s="39"/>
      <c r="C105" s="40"/>
      <c r="D105" s="40"/>
      <c r="E105" s="40"/>
      <c r="F105" s="41"/>
      <c r="G105" s="41"/>
      <c r="H105" s="41" t="str">
        <f t="shared" ca="1" si="1"/>
        <v/>
      </c>
      <c r="I105" s="42"/>
      <c r="J105" s="43"/>
      <c r="K105" s="43"/>
      <c r="L105" s="44" t="str" cm="1">
        <f t="array" ref="L105">_xlfn.IFS(OR(ISBLANK(F105), ISBLANK(G105), ISBLANK(K105)), "", K105="per quarter", (ROUNDUP(MONTH(G105)/3,0) - ROUNDUP(MONTH(F105)/3,0)) + (YEAR(G105) - YEAR(F105)) * 4 + 1, K105="per month", (MONTH(G105) - MONTH(F105)) + (YEAR(G105) - YEAR(F105)) * 12 + 1, K105="bimonthly", ROUNDUP(((MONTH(G105) - MONTH(F105)) + (YEAR(G105) - YEAR(F105)) * 12 + 1) / 2, 0), K105="per year", (YEAR(G105) - YEAR(F105)) + 1, K105="biyear", ROUNDUP(((YEAR(G105) - YEAR(F105)) + 1) / 2, 0), TRUE, "")</f>
        <v/>
      </c>
      <c r="M105" s="44"/>
      <c r="N105" s="44"/>
    </row>
    <row r="106" spans="1:14">
      <c r="A106" s="38" t="s">
        <v>157</v>
      </c>
      <c r="B106" s="45"/>
      <c r="C106" s="46"/>
      <c r="D106" s="46"/>
      <c r="E106" s="46"/>
      <c r="F106" s="47"/>
      <c r="G106" s="47"/>
      <c r="H106" s="47"/>
      <c r="I106" s="45"/>
      <c r="J106" s="45"/>
      <c r="K106" s="45"/>
      <c r="L106" s="47"/>
      <c r="M106" s="33">
        <v>174.77874629999999</v>
      </c>
      <c r="N106" s="33">
        <v>-41.292381399999996</v>
      </c>
    </row>
  </sheetData>
  <autoFilter ref="A1:N106" xr:uid="{4FE911E0-BC2B-43AF-95C5-165E9D19FA3D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9DCF-ABF3-4E26-9A58-BC19FFA79BEE}">
  <dimension ref="A1:V22"/>
  <sheetViews>
    <sheetView zoomScale="91" zoomScaleNormal="70" workbookViewId="0">
      <selection activeCell="B14" sqref="B14"/>
    </sheetView>
  </sheetViews>
  <sheetFormatPr baseColWidth="10" defaultColWidth="8.83203125" defaultRowHeight="17"/>
  <cols>
    <col min="1" max="1" width="23.33203125" style="5" customWidth="1"/>
    <col min="2" max="22" width="20" style="3" customWidth="1"/>
    <col min="23" max="16384" width="8.83203125" style="3"/>
  </cols>
  <sheetData>
    <row r="1" spans="1:22" s="24" customFormat="1">
      <c r="A1" s="22" t="s">
        <v>142</v>
      </c>
      <c r="B1" s="22" t="s">
        <v>70</v>
      </c>
      <c r="C1" s="22" t="s">
        <v>90</v>
      </c>
      <c r="D1" s="22" t="s">
        <v>87</v>
      </c>
      <c r="E1" s="22" t="s">
        <v>86</v>
      </c>
      <c r="F1" s="22" t="s">
        <v>63</v>
      </c>
      <c r="G1" s="22" t="s">
        <v>60</v>
      </c>
      <c r="H1" s="22" t="s">
        <v>74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>
      <c r="A2" s="25" t="s">
        <v>26</v>
      </c>
      <c r="B2" s="4">
        <v>5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</row>
    <row r="3" spans="1:22">
      <c r="A3" s="25" t="s">
        <v>17</v>
      </c>
      <c r="B3" s="4">
        <v>4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</row>
    <row r="4" spans="1:22">
      <c r="A4" s="25" t="s">
        <v>28</v>
      </c>
      <c r="B4" s="4">
        <v>4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</row>
    <row r="5" spans="1:22">
      <c r="A5" s="25" t="s">
        <v>114</v>
      </c>
      <c r="B5" s="4">
        <v>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</row>
    <row r="6" spans="1:22">
      <c r="A6" s="25" t="s">
        <v>30</v>
      </c>
      <c r="B6" s="4">
        <v>4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</row>
    <row r="7" spans="1:22">
      <c r="A7" s="25" t="s">
        <v>7</v>
      </c>
      <c r="B7" s="4">
        <v>4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</row>
    <row r="8" spans="1:22">
      <c r="A8" s="25" t="s">
        <v>36</v>
      </c>
      <c r="B8" s="4">
        <v>4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</row>
    <row r="9" spans="1:22">
      <c r="A9" s="25" t="s">
        <v>10</v>
      </c>
      <c r="B9" s="4">
        <v>4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22">
      <c r="A10" s="25" t="s">
        <v>16</v>
      </c>
      <c r="B10" s="4">
        <v>4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</row>
    <row r="11" spans="1:22">
      <c r="A11" s="25" t="s">
        <v>12</v>
      </c>
      <c r="B11" s="4">
        <v>4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</row>
    <row r="12" spans="1:22">
      <c r="A12" s="25" t="s">
        <v>24</v>
      </c>
      <c r="B12" s="4">
        <v>4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</row>
    <row r="13" spans="1:22">
      <c r="A13" s="25" t="s">
        <v>21</v>
      </c>
      <c r="B13" s="4">
        <v>4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</row>
    <row r="14" spans="1:22">
      <c r="A14" s="25" t="s">
        <v>31</v>
      </c>
      <c r="B14" s="4">
        <v>4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</row>
    <row r="15" spans="1:22">
      <c r="A15" s="25" t="s">
        <v>33</v>
      </c>
      <c r="B15" s="4">
        <v>4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</row>
    <row r="16" spans="1:22">
      <c r="A16" s="25" t="s">
        <v>50</v>
      </c>
      <c r="B16" s="4">
        <v>4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</row>
    <row r="17" spans="1:8">
      <c r="A17" s="25" t="s">
        <v>43</v>
      </c>
      <c r="B17" s="4">
        <v>4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</row>
    <row r="18" spans="1:8">
      <c r="A18" s="25" t="s">
        <v>47</v>
      </c>
      <c r="B18" s="4">
        <v>4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</row>
    <row r="19" spans="1:8">
      <c r="A19" s="25" t="s">
        <v>48</v>
      </c>
      <c r="B19" s="4">
        <v>4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</row>
    <row r="20" spans="1:8">
      <c r="A20" s="25" t="s">
        <v>52</v>
      </c>
      <c r="B20" s="4">
        <v>4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</row>
    <row r="21" spans="1:8">
      <c r="A21" s="25" t="s">
        <v>55</v>
      </c>
      <c r="B21" s="4">
        <v>4</v>
      </c>
      <c r="C21" s="4">
        <v>1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</row>
    <row r="22" spans="1:8">
      <c r="A22" s="25" t="s">
        <v>56</v>
      </c>
      <c r="B22" s="4">
        <v>4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7DB3-1CFC-486C-9D43-668E9A0A9234}">
  <dimension ref="A1:K1007"/>
  <sheetViews>
    <sheetView workbookViewId="0">
      <selection activeCell="M25" sqref="M25"/>
    </sheetView>
  </sheetViews>
  <sheetFormatPr baseColWidth="10" defaultColWidth="8.83203125" defaultRowHeight="17"/>
  <cols>
    <col min="1" max="1" width="28.83203125" style="5" bestFit="1" customWidth="1"/>
    <col min="2" max="4" width="22.33203125" style="5" customWidth="1"/>
    <col min="5" max="5" width="20" style="5" customWidth="1"/>
    <col min="6" max="6" width="20" style="3" customWidth="1"/>
    <col min="7" max="7" width="31.33203125" style="5" customWidth="1"/>
    <col min="8" max="8" width="26.1640625" style="5" customWidth="1"/>
    <col min="9" max="9" width="18.6640625" style="3" customWidth="1"/>
    <col min="10" max="10" width="20" style="3" customWidth="1"/>
    <col min="11" max="11" width="11.33203125" style="3" customWidth="1"/>
    <col min="12" max="16384" width="8.83203125" style="3"/>
  </cols>
  <sheetData>
    <row r="1" spans="1:11" s="5" customFormat="1">
      <c r="A1" s="6" t="s">
        <v>142</v>
      </c>
      <c r="B1" s="6" t="s">
        <v>0</v>
      </c>
      <c r="C1" s="6" t="s">
        <v>2</v>
      </c>
      <c r="D1" s="6" t="s">
        <v>3</v>
      </c>
      <c r="E1" s="6" t="s">
        <v>57</v>
      </c>
      <c r="F1" s="6" t="s">
        <v>143</v>
      </c>
      <c r="G1" s="19" t="s">
        <v>151</v>
      </c>
      <c r="H1" s="6" t="s">
        <v>144</v>
      </c>
      <c r="I1" s="6" t="s">
        <v>145</v>
      </c>
      <c r="J1" s="6" t="s">
        <v>150</v>
      </c>
      <c r="K1" s="6" t="s">
        <v>153</v>
      </c>
    </row>
    <row r="2" spans="1:11">
      <c r="A2" s="7" t="s">
        <v>26</v>
      </c>
      <c r="B2" s="8">
        <f>VLOOKUP($A2,contracts!$A$2:$L$100,2,0)</f>
        <v>107001</v>
      </c>
      <c r="C2" s="8" t="str">
        <f>VLOOKUP($A2,contracts!$A$2:$L$100,3,0)</f>
        <v>Europe</v>
      </c>
      <c r="D2" s="8" t="str">
        <f>VLOOKUP($A2,contracts!$A$2:$L$100,4,0)</f>
        <v>Greece</v>
      </c>
      <c r="E2" s="8" t="s">
        <v>70</v>
      </c>
      <c r="F2" s="9">
        <v>45899</v>
      </c>
      <c r="G2" s="8" t="s">
        <v>146</v>
      </c>
      <c r="H2" s="8"/>
      <c r="I2" s="8" t="str">
        <f ca="1">IF(ISBLANK(F2), "", IF(INT(F2 - TODAY()) &gt;= 0, "-" &amp; INT(F2 - TODAY()), "+" &amp; ABS(INT(F2 - TODAY()))))</f>
        <v>+79</v>
      </c>
      <c r="J2" s="8" t="str" cm="1">
        <f t="array" aca="1" ref="J2" ca="1">_xlfn.IFS(OR(ISBLANK(F2), ISBLANK(G2)), "", TODAY() &gt; G2, "Expired", TODAY() &lt; F2, "Not Started", TRUE, "Active")</f>
        <v>Active</v>
      </c>
      <c r="K2" s="16"/>
    </row>
    <row r="3" spans="1:11">
      <c r="A3" s="10" t="s">
        <v>17</v>
      </c>
      <c r="B3" s="11">
        <f>VLOOKUP($A3,contracts!$A$2:$L$100,2,0)</f>
        <v>104001</v>
      </c>
      <c r="C3" s="11" t="str">
        <f>VLOOKUP($A3,contracts!$A$2:$L$100,3,0)</f>
        <v>Europe</v>
      </c>
      <c r="D3" s="11" t="str">
        <f>VLOOKUP($A3,contracts!$A$2:$L$100,4,0)</f>
        <v>Germany</v>
      </c>
      <c r="E3" s="11" t="s">
        <v>70</v>
      </c>
      <c r="F3" s="12">
        <v>45955</v>
      </c>
      <c r="G3" s="11" t="s">
        <v>146</v>
      </c>
      <c r="H3" s="11" t="s">
        <v>147</v>
      </c>
      <c r="I3" s="11" t="str">
        <f t="shared" ref="I3:I23" ca="1" si="0">IF(ISBLANK(F3), "", IF(INT(F3 - TODAY()) &gt;= 0, "-" &amp; INT(F3 - TODAY()), "+" &amp; ABS(INT(F3 - TODAY()))))</f>
        <v>+23</v>
      </c>
      <c r="J3" s="11" t="str" cm="1">
        <f t="array" aca="1" ref="J3" ca="1">_xlfn.IFS(OR(ISBLANK(F3), ISBLANK(G3)), "", TODAY() &gt; G3, "Expired", TODAY() &lt; F3, "Not Started", TRUE, "Active")</f>
        <v>Active</v>
      </c>
      <c r="K3" s="11"/>
    </row>
    <row r="4" spans="1:11">
      <c r="A4" s="10" t="s">
        <v>28</v>
      </c>
      <c r="B4" s="11">
        <f>VLOOKUP($A4,contracts!$A$2:$L$100,2,0)</f>
        <v>108001</v>
      </c>
      <c r="C4" s="11" t="str">
        <f>VLOOKUP($A4,contracts!$A$2:$L$100,3,0)</f>
        <v>Europe</v>
      </c>
      <c r="D4" s="11" t="str">
        <f>VLOOKUP($A4,contracts!$A$2:$L$100,4,0)</f>
        <v>Poland</v>
      </c>
      <c r="E4" s="11" t="s">
        <v>90</v>
      </c>
      <c r="F4" s="12">
        <v>45949</v>
      </c>
      <c r="G4" s="11" t="s">
        <v>146</v>
      </c>
      <c r="H4" s="11"/>
      <c r="I4" s="11" t="str">
        <f t="shared" ca="1" si="0"/>
        <v>+29</v>
      </c>
      <c r="J4" s="11" t="str" cm="1">
        <f t="array" aca="1" ref="J4" ca="1">_xlfn.IFS(OR(ISBLANK(F4), ISBLANK(G4)), "", TODAY() &gt; G4, "Expired", TODAY() &lt; F4, "Not Started", TRUE, "Active")</f>
        <v>Active</v>
      </c>
      <c r="K4" s="11"/>
    </row>
    <row r="5" spans="1:11">
      <c r="A5" s="10" t="s">
        <v>114</v>
      </c>
      <c r="B5" s="11">
        <f>VLOOKUP($A5,contracts!$A$2:$L$100,2,0)</f>
        <v>206001</v>
      </c>
      <c r="C5" s="11" t="str">
        <f>VLOOKUP($A5,contracts!$A$2:$L$100,3,0)</f>
        <v>APAC</v>
      </c>
      <c r="D5" s="11" t="str">
        <f>VLOOKUP($A5,contracts!$A$2:$L$100,4,0)</f>
        <v>Uzbekistan</v>
      </c>
      <c r="E5" s="11" t="s">
        <v>70</v>
      </c>
      <c r="F5" s="12">
        <v>45917</v>
      </c>
      <c r="G5" s="11" t="s">
        <v>146</v>
      </c>
      <c r="H5" s="11"/>
      <c r="I5" s="11" t="str">
        <f t="shared" ca="1" si="0"/>
        <v>+61</v>
      </c>
      <c r="J5" s="11" t="str" cm="1">
        <f t="array" aca="1" ref="J5" ca="1">_xlfn.IFS(OR(ISBLANK(F5), ISBLANK(G5)), "", TODAY() &gt; G5, "Expired", TODAY() &lt; F5, "Not Started", TRUE, "Active")</f>
        <v>Active</v>
      </c>
      <c r="K5" s="11"/>
    </row>
    <row r="6" spans="1:11">
      <c r="A6" s="10" t="s">
        <v>30</v>
      </c>
      <c r="B6" s="11">
        <f>VLOOKUP($A6,contracts!$A$2:$L$100,2,0)</f>
        <v>108003</v>
      </c>
      <c r="C6" s="11" t="str">
        <f>VLOOKUP($A6,contracts!$A$2:$L$100,3,0)</f>
        <v>Europe</v>
      </c>
      <c r="D6" s="11" t="str">
        <f>VLOOKUP($A6,contracts!$A$2:$L$100,4,0)</f>
        <v>Poland</v>
      </c>
      <c r="E6" s="11"/>
      <c r="F6" s="12"/>
      <c r="G6" s="11"/>
      <c r="H6" s="11"/>
      <c r="I6" s="11" t="str">
        <f t="shared" ca="1" si="0"/>
        <v/>
      </c>
      <c r="J6" s="11" t="str" cm="1">
        <f t="array" aca="1" ref="J6" ca="1">_xlfn.IFS(OR(ISBLANK(F6), ISBLANK(G6)), "", TODAY() &gt; G6, "Expired", TODAY() &lt; F6, "Not Started", TRUE, "Active")</f>
        <v/>
      </c>
      <c r="K6" s="11"/>
    </row>
    <row r="7" spans="1:11">
      <c r="A7" s="10" t="s">
        <v>7</v>
      </c>
      <c r="B7" s="11">
        <f>VLOOKUP($A7,contracts!$A$2:$L$100,2,0)</f>
        <v>101001</v>
      </c>
      <c r="C7" s="11" t="str">
        <f>VLOOKUP($A7,contracts!$A$2:$L$100,3,0)</f>
        <v>Europe</v>
      </c>
      <c r="D7" s="11" t="str">
        <f>VLOOKUP($A7,contracts!$A$2:$L$100,4,0)</f>
        <v>UK</v>
      </c>
      <c r="E7" s="11" t="s">
        <v>89</v>
      </c>
      <c r="F7" s="12">
        <v>45899</v>
      </c>
      <c r="G7" s="11" t="s">
        <v>146</v>
      </c>
      <c r="H7" s="11"/>
      <c r="I7" s="11" t="str">
        <f t="shared" ca="1" si="0"/>
        <v>+79</v>
      </c>
      <c r="J7" s="11" t="str" cm="1">
        <f t="array" aca="1" ref="J7" ca="1">_xlfn.IFS(OR(ISBLANK(F7), ISBLANK(G7)), "", TODAY() &gt; G7, "Expired", TODAY() &lt; F7, "Not Started", TRUE, "Active")</f>
        <v>Active</v>
      </c>
      <c r="K7" s="11"/>
    </row>
    <row r="8" spans="1:11">
      <c r="A8" s="10" t="s">
        <v>36</v>
      </c>
      <c r="B8" s="11">
        <f>VLOOKUP($A8,contracts!$A$2:$L$100,2,0)</f>
        <v>111001</v>
      </c>
      <c r="C8" s="11" t="str">
        <f>VLOOKUP($A8,contracts!$A$2:$L$100,3,0)</f>
        <v>Europe</v>
      </c>
      <c r="D8" s="11" t="str">
        <f>VLOOKUP($A8,contracts!$A$2:$L$100,4,0)</f>
        <v>Italy</v>
      </c>
      <c r="E8" s="11"/>
      <c r="F8" s="12"/>
      <c r="G8" s="11"/>
      <c r="H8" s="11"/>
      <c r="I8" s="11" t="str">
        <f t="shared" ca="1" si="0"/>
        <v/>
      </c>
      <c r="J8" s="11" t="str" cm="1">
        <f t="array" aca="1" ref="J8" ca="1">_xlfn.IFS(OR(ISBLANK(F8), ISBLANK(G8)), "", TODAY() &gt; G8, "Expired", TODAY() &lt; F8, "Not Started", TRUE, "Active")</f>
        <v/>
      </c>
      <c r="K8" s="11"/>
    </row>
    <row r="9" spans="1:11">
      <c r="A9" s="10" t="s">
        <v>10</v>
      </c>
      <c r="B9" s="11">
        <f>VLOOKUP($A9,contracts!$A$2:$L$100,2,0)</f>
        <v>102001</v>
      </c>
      <c r="C9" s="11" t="str">
        <f>VLOOKUP($A9,contracts!$A$2:$L$100,3,0)</f>
        <v>Europe</v>
      </c>
      <c r="D9" s="11" t="str">
        <f>VLOOKUP($A9,contracts!$A$2:$L$100,4,0)</f>
        <v>Sweden</v>
      </c>
      <c r="E9" s="11" t="s">
        <v>148</v>
      </c>
      <c r="F9" s="12">
        <v>45898</v>
      </c>
      <c r="G9" s="11" t="s">
        <v>146</v>
      </c>
      <c r="H9" s="11"/>
      <c r="I9" s="11" t="str">
        <f t="shared" ca="1" si="0"/>
        <v>+80</v>
      </c>
      <c r="J9" s="11" t="str" cm="1">
        <f t="array" aca="1" ref="J9" ca="1">_xlfn.IFS(OR(ISBLANK(F9), ISBLANK(G9)), "", TODAY() &gt; G9, "Expired", TODAY() &lt; F9, "Not Started", TRUE, "Active")</f>
        <v>Active</v>
      </c>
      <c r="K9" s="11"/>
    </row>
    <row r="10" spans="1:11">
      <c r="A10" s="10" t="s">
        <v>16</v>
      </c>
      <c r="B10" s="11">
        <f>VLOOKUP($A10,contracts!$A$2:$L$100,2,0)</f>
        <v>103004</v>
      </c>
      <c r="C10" s="11" t="str">
        <f>VLOOKUP($A10,contracts!$A$2:$L$100,3,0)</f>
        <v>Europe</v>
      </c>
      <c r="D10" s="11" t="str">
        <f>VLOOKUP($A10,contracts!$A$2:$L$100,4,0)</f>
        <v>France</v>
      </c>
      <c r="E10" s="11" t="s">
        <v>70</v>
      </c>
      <c r="F10" s="12">
        <v>45975</v>
      </c>
      <c r="G10" s="11" t="s">
        <v>146</v>
      </c>
      <c r="H10" s="11" t="s">
        <v>149</v>
      </c>
      <c r="I10" s="11" t="str">
        <f t="shared" ca="1" si="0"/>
        <v>+3</v>
      </c>
      <c r="J10" s="11" t="str" cm="1">
        <f t="array" aca="1" ref="J10" ca="1">_xlfn.IFS(OR(ISBLANK(F10), ISBLANK(G10)), "", TODAY() &gt; G10, "Expired", TODAY() &lt; F10, "Not Started", TRUE, "Active")</f>
        <v>Active</v>
      </c>
      <c r="K10" s="11"/>
    </row>
    <row r="11" spans="1:11">
      <c r="A11" s="10" t="s">
        <v>16</v>
      </c>
      <c r="B11" s="11">
        <f>VLOOKUP($A11,contracts!$A$2:$L$100,2,0)</f>
        <v>103004</v>
      </c>
      <c r="C11" s="11" t="str">
        <f>VLOOKUP($A11,contracts!$A$2:$L$100,3,0)</f>
        <v>Europe</v>
      </c>
      <c r="D11" s="11" t="str">
        <f>VLOOKUP($A11,contracts!$A$2:$L$100,4,0)</f>
        <v>France</v>
      </c>
      <c r="E11" s="11" t="s">
        <v>152</v>
      </c>
      <c r="F11" s="12">
        <v>45962</v>
      </c>
      <c r="G11" s="11" t="s">
        <v>146</v>
      </c>
      <c r="H11" s="11"/>
      <c r="I11" s="11" t="str">
        <f t="shared" ca="1" si="0"/>
        <v>+16</v>
      </c>
      <c r="J11" s="11" t="str" cm="1">
        <f t="array" aca="1" ref="J11" ca="1">_xlfn.IFS(OR(ISBLANK(F11), ISBLANK(G11)), "", TODAY() &gt; G11, "Expired", TODAY() &lt; F11, "Not Started", TRUE, "Active")</f>
        <v>Active</v>
      </c>
      <c r="K11" s="11"/>
    </row>
    <row r="12" spans="1:11">
      <c r="A12" s="10" t="s">
        <v>12</v>
      </c>
      <c r="B12" s="11">
        <f>VLOOKUP($A12,contracts!$A$2:$L$100,2,0)</f>
        <v>103001</v>
      </c>
      <c r="C12" s="11" t="str">
        <f>VLOOKUP($A12,contracts!$A$2:$L$100,3,0)</f>
        <v>Europe</v>
      </c>
      <c r="D12" s="11" t="str">
        <f>VLOOKUP($A12,contracts!$A$2:$L$100,4,0)</f>
        <v>France</v>
      </c>
      <c r="E12" s="11" t="s">
        <v>70</v>
      </c>
      <c r="F12" s="12">
        <v>46000</v>
      </c>
      <c r="G12" s="11" t="s">
        <v>146</v>
      </c>
      <c r="H12" s="11"/>
      <c r="I12" s="11" t="str">
        <f t="shared" ca="1" si="0"/>
        <v>-22</v>
      </c>
      <c r="J12" s="11" t="str" cm="1">
        <f t="array" aca="1" ref="J12" ca="1">_xlfn.IFS(OR(ISBLANK(F12), ISBLANK(G12)), "", TODAY() &gt; G12, "Expired", TODAY() &lt; F12, "Not Started", TRUE, "Active")</f>
        <v>Not Started</v>
      </c>
      <c r="K12" s="11"/>
    </row>
    <row r="13" spans="1:11">
      <c r="A13" s="10" t="s">
        <v>24</v>
      </c>
      <c r="B13" s="11">
        <f>VLOOKUP($A13,contracts!$A$2:$L$100,2,0)</f>
        <v>106001</v>
      </c>
      <c r="C13" s="11" t="str">
        <f>VLOOKUP($A13,contracts!$A$2:$L$100,3,0)</f>
        <v>Europe</v>
      </c>
      <c r="D13" s="11" t="str">
        <f>VLOOKUP($A13,contracts!$A$2:$L$100,4,0)</f>
        <v>Romania</v>
      </c>
      <c r="E13" s="11" t="s">
        <v>87</v>
      </c>
      <c r="F13" s="12">
        <v>45930</v>
      </c>
      <c r="G13" s="11" t="s">
        <v>146</v>
      </c>
      <c r="H13" s="11"/>
      <c r="I13" s="11" t="str">
        <f t="shared" ca="1" si="0"/>
        <v>+48</v>
      </c>
      <c r="J13" s="11" t="str" cm="1">
        <f t="array" aca="1" ref="J13" ca="1">_xlfn.IFS(OR(ISBLANK(F13), ISBLANK(G13)), "", TODAY() &gt; G13, "Expired", TODAY() &lt; F13, "Not Started", TRUE, "Active")</f>
        <v>Active</v>
      </c>
      <c r="K13" s="11"/>
    </row>
    <row r="14" spans="1:11">
      <c r="A14" s="10" t="s">
        <v>21</v>
      </c>
      <c r="B14" s="11">
        <f>VLOOKUP($A14,contracts!$A$2:$L$100,2,0)</f>
        <v>105001</v>
      </c>
      <c r="C14" s="11" t="str">
        <f>VLOOKUP($A14,contracts!$A$2:$L$100,3,0)</f>
        <v>Europe</v>
      </c>
      <c r="D14" s="11" t="str">
        <f>VLOOKUP($A14,contracts!$A$2:$L$100,4,0)</f>
        <v>Lithuania</v>
      </c>
      <c r="E14" s="11"/>
      <c r="F14" s="12"/>
      <c r="G14" s="11"/>
      <c r="H14" s="11"/>
      <c r="I14" s="11" t="str">
        <f t="shared" ca="1" si="0"/>
        <v/>
      </c>
      <c r="J14" s="11" t="str" cm="1">
        <f t="array" aca="1" ref="J14" ca="1">_xlfn.IFS(OR(ISBLANK(F14), ISBLANK(G14)), "", TODAY() &gt; G14, "Expired", TODAY() &lt; F14, "Not Started", TRUE, "Active")</f>
        <v/>
      </c>
      <c r="K14" s="11"/>
    </row>
    <row r="15" spans="1:11">
      <c r="A15" s="10" t="s">
        <v>31</v>
      </c>
      <c r="B15" s="11">
        <f>VLOOKUP($A15,contracts!$A$2:$L$100,2,0)</f>
        <v>109001</v>
      </c>
      <c r="C15" s="11" t="str">
        <f>VLOOKUP($A15,contracts!$A$2:$L$100,3,0)</f>
        <v>Europe</v>
      </c>
      <c r="D15" s="11" t="str">
        <f>VLOOKUP($A15,contracts!$A$2:$L$100,4,0)</f>
        <v>Ukraine</v>
      </c>
      <c r="E15" s="11" t="s">
        <v>90</v>
      </c>
      <c r="F15" s="12">
        <v>46031</v>
      </c>
      <c r="G15" s="11" t="s">
        <v>146</v>
      </c>
      <c r="H15" s="11"/>
      <c r="I15" s="11" t="str">
        <f t="shared" ca="1" si="0"/>
        <v>-53</v>
      </c>
      <c r="J15" s="11" t="str" cm="1">
        <f t="array" aca="1" ref="J15" ca="1">_xlfn.IFS(OR(ISBLANK(F15), ISBLANK(G15)), "", TODAY() &gt; G15, "Expired", TODAY() &lt; F15, "Not Started", TRUE, "Active")</f>
        <v>Not Started</v>
      </c>
      <c r="K15" s="11"/>
    </row>
    <row r="16" spans="1:11">
      <c r="A16" s="10" t="s">
        <v>33</v>
      </c>
      <c r="B16" s="11">
        <f>VLOOKUP($A16,contracts!$A$2:$L$100,2,0)</f>
        <v>109002</v>
      </c>
      <c r="C16" s="11" t="str">
        <f>VLOOKUP($A16,contracts!$A$2:$L$100,3,0)</f>
        <v>Europe</v>
      </c>
      <c r="D16" s="11" t="str">
        <f>VLOOKUP($A16,contracts!$A$2:$L$100,4,0)</f>
        <v>Ukraine</v>
      </c>
      <c r="E16" s="11" t="s">
        <v>89</v>
      </c>
      <c r="F16" s="12">
        <v>45899</v>
      </c>
      <c r="G16" s="11" t="s">
        <v>146</v>
      </c>
      <c r="H16" s="11"/>
      <c r="I16" s="11" t="str">
        <f t="shared" ca="1" si="0"/>
        <v>+79</v>
      </c>
      <c r="J16" s="11" t="str" cm="1">
        <f t="array" aca="1" ref="J16" ca="1">_xlfn.IFS(OR(ISBLANK(F16), ISBLANK(G16)), "", TODAY() &gt; G16, "Expired", TODAY() &lt; F16, "Not Started", TRUE, "Active")</f>
        <v>Active</v>
      </c>
      <c r="K16" s="11"/>
    </row>
    <row r="17" spans="1:11">
      <c r="A17" s="10" t="s">
        <v>50</v>
      </c>
      <c r="B17" s="11">
        <f>VLOOKUP($A17,contracts!$A$2:$L$100,2,0)</f>
        <v>205001</v>
      </c>
      <c r="C17" s="11" t="str">
        <f>VLOOKUP($A17,contracts!$A$2:$L$100,3,0)</f>
        <v>APAC</v>
      </c>
      <c r="D17" s="11" t="str">
        <f>VLOOKUP($A17,contracts!$A$2:$L$100,4,0)</f>
        <v>Thailand</v>
      </c>
      <c r="E17" s="11"/>
      <c r="F17" s="12"/>
      <c r="G17" s="11"/>
      <c r="H17" s="11"/>
      <c r="I17" s="11" t="str">
        <f t="shared" ca="1" si="0"/>
        <v/>
      </c>
      <c r="J17" s="11" t="str" cm="1">
        <f t="array" aca="1" ref="J17" ca="1">_xlfn.IFS(OR(ISBLANK(F17), ISBLANK(G17)), "", TODAY() &gt; G17, "Expired", TODAY() &lt; F17, "Not Started", TRUE, "Active")</f>
        <v/>
      </c>
      <c r="K17" s="11"/>
    </row>
    <row r="18" spans="1:11">
      <c r="A18" s="10" t="s">
        <v>43</v>
      </c>
      <c r="B18" s="11">
        <f>VLOOKUP($A18,contracts!$A$2:$L$100,2,0)</f>
        <v>202001</v>
      </c>
      <c r="C18" s="11" t="str">
        <f>VLOOKUP($A18,contracts!$A$2:$L$100,3,0)</f>
        <v>APAC</v>
      </c>
      <c r="D18" s="11" t="str">
        <f>VLOOKUP($A18,contracts!$A$2:$L$100,4,0)</f>
        <v>Mongolia</v>
      </c>
      <c r="E18" s="11" t="s">
        <v>70</v>
      </c>
      <c r="F18" s="12">
        <v>46031</v>
      </c>
      <c r="G18" s="11" t="s">
        <v>146</v>
      </c>
      <c r="H18" s="11"/>
      <c r="I18" s="11" t="str">
        <f t="shared" ca="1" si="0"/>
        <v>-53</v>
      </c>
      <c r="J18" s="11" t="str" cm="1">
        <f t="array" aca="1" ref="J18" ca="1">_xlfn.IFS(OR(ISBLANK(F18), ISBLANK(G18)), "", TODAY() &gt; G18, "Expired", TODAY() &lt; F18, "Not Started", TRUE, "Active")</f>
        <v>Not Started</v>
      </c>
      <c r="K18" s="11"/>
    </row>
    <row r="19" spans="1:11">
      <c r="A19" s="10" t="s">
        <v>47</v>
      </c>
      <c r="B19" s="11">
        <f>VLOOKUP($A19,contracts!$A$2:$L$100,2,0)</f>
        <v>203002</v>
      </c>
      <c r="C19" s="11" t="str">
        <f>VLOOKUP($A19,contracts!$A$2:$L$100,3,0)</f>
        <v>APAC</v>
      </c>
      <c r="D19" s="11" t="str">
        <f>VLOOKUP($A19,contracts!$A$2:$L$100,4,0)</f>
        <v>India</v>
      </c>
      <c r="E19" s="11" t="s">
        <v>70</v>
      </c>
      <c r="F19" s="12">
        <v>45930</v>
      </c>
      <c r="G19" s="11" t="s">
        <v>146</v>
      </c>
      <c r="H19" s="11"/>
      <c r="I19" s="11" t="str">
        <f t="shared" ca="1" si="0"/>
        <v>+48</v>
      </c>
      <c r="J19" s="11" t="str" cm="1">
        <f t="array" aca="1" ref="J19" ca="1">_xlfn.IFS(OR(ISBLANK(F19), ISBLANK(G19)), "", TODAY() &gt; G19, "Expired", TODAY() &lt; F19, "Not Started", TRUE, "Active")</f>
        <v>Active</v>
      </c>
      <c r="K19" s="11"/>
    </row>
    <row r="20" spans="1:11">
      <c r="A20" s="10" t="s">
        <v>48</v>
      </c>
      <c r="B20" s="11">
        <f>VLOOKUP($A20,contracts!$A$2:$L$100,2,0)</f>
        <v>204001</v>
      </c>
      <c r="C20" s="11" t="str">
        <f>VLOOKUP($A20,contracts!$A$2:$L$100,3,0)</f>
        <v>APAC</v>
      </c>
      <c r="D20" s="11" t="str">
        <f>VLOOKUP($A20,contracts!$A$2:$L$100,4,0)</f>
        <v>New Zealand</v>
      </c>
      <c r="E20" s="11"/>
      <c r="F20" s="12"/>
      <c r="G20" s="11"/>
      <c r="H20" s="11"/>
      <c r="I20" s="11" t="str">
        <f t="shared" ca="1" si="0"/>
        <v/>
      </c>
      <c r="J20" s="11" t="str" cm="1">
        <f t="array" aca="1" ref="J20" ca="1">_xlfn.IFS(OR(ISBLANK(F20), ISBLANK(G20)), "", TODAY() &gt; G20, "Expired", TODAY() &lt; F20, "Not Started", TRUE, "Active")</f>
        <v/>
      </c>
      <c r="K20" s="11"/>
    </row>
    <row r="21" spans="1:11">
      <c r="A21" s="10" t="s">
        <v>52</v>
      </c>
      <c r="B21" s="11">
        <f>VLOOKUP($A21,contracts!$A$2:$L$100,2,0)</f>
        <v>301001</v>
      </c>
      <c r="C21" s="11" t="str">
        <f>VLOOKUP($A21,contracts!$A$2:$L$100,3,0)</f>
        <v>MEA</v>
      </c>
      <c r="D21" s="11" t="str">
        <f>VLOOKUP($A21,contracts!$A$2:$L$100,4,0)</f>
        <v>Egypt</v>
      </c>
      <c r="E21" s="11" t="s">
        <v>90</v>
      </c>
      <c r="F21" s="12">
        <v>45949</v>
      </c>
      <c r="G21" s="11" t="s">
        <v>146</v>
      </c>
      <c r="H21" s="11"/>
      <c r="I21" s="11" t="str">
        <f t="shared" ca="1" si="0"/>
        <v>+29</v>
      </c>
      <c r="J21" s="11" t="str" cm="1">
        <f t="array" aca="1" ref="J21" ca="1">_xlfn.IFS(OR(ISBLANK(F21), ISBLANK(G21)), "", TODAY() &gt; G21, "Expired", TODAY() &lt; F21, "Not Started", TRUE, "Active")</f>
        <v>Active</v>
      </c>
      <c r="K21" s="11"/>
    </row>
    <row r="22" spans="1:11">
      <c r="A22" s="10" t="s">
        <v>55</v>
      </c>
      <c r="B22" s="11">
        <f>VLOOKUP($A22,contracts!$A$2:$L$100,2,0)</f>
        <v>301002</v>
      </c>
      <c r="C22" s="11" t="str">
        <f>VLOOKUP($A22,contracts!$A$2:$L$100,3,0)</f>
        <v>MEA</v>
      </c>
      <c r="D22" s="11" t="str">
        <f>VLOOKUP($A22,contracts!$A$2:$L$100,4,0)</f>
        <v>Egypt</v>
      </c>
      <c r="E22" s="11" t="s">
        <v>87</v>
      </c>
      <c r="F22" s="12">
        <v>46031</v>
      </c>
      <c r="G22" s="11" t="s">
        <v>146</v>
      </c>
      <c r="H22" s="11"/>
      <c r="I22" s="11" t="str">
        <f t="shared" ca="1" si="0"/>
        <v>-53</v>
      </c>
      <c r="J22" s="11" t="str" cm="1">
        <f t="array" aca="1" ref="J22" ca="1">_xlfn.IFS(OR(ISBLANK(F22), ISBLANK(G22)), "", TODAY() &gt; G22, "Expired", TODAY() &lt; F22, "Not Started", TRUE, "Active")</f>
        <v>Not Started</v>
      </c>
      <c r="K22" s="11"/>
    </row>
    <row r="23" spans="1:11">
      <c r="A23" s="13" t="s">
        <v>56</v>
      </c>
      <c r="B23" s="14">
        <f>VLOOKUP($A23,contracts!$A$2:$L$100,2,0)</f>
        <v>301003</v>
      </c>
      <c r="C23" s="14" t="str">
        <f>VLOOKUP($A23,contracts!$A$2:$L$100,3,0)</f>
        <v>MEA</v>
      </c>
      <c r="D23" s="14" t="str">
        <f>VLOOKUP($A23,contracts!$A$2:$L$100,4,0)</f>
        <v>Egypt</v>
      </c>
      <c r="E23" s="14" t="s">
        <v>89</v>
      </c>
      <c r="F23" s="15">
        <v>46031</v>
      </c>
      <c r="G23" s="14" t="s">
        <v>146</v>
      </c>
      <c r="H23" s="14"/>
      <c r="I23" s="14" t="str">
        <f t="shared" ca="1" si="0"/>
        <v>-53</v>
      </c>
      <c r="J23" s="14" t="str" cm="1">
        <f t="array" aca="1" ref="J23" ca="1">_xlfn.IFS(OR(ISBLANK(F23), ISBLANK(G23)), "", TODAY() &gt; G23, "Expired", TODAY() &lt; F23, "Not Started", TRUE, "Active")</f>
        <v>Not Started</v>
      </c>
      <c r="K23" s="14"/>
    </row>
    <row r="24" spans="1:11">
      <c r="I24" s="3" t="str">
        <f t="shared" ref="I24:I71" ca="1" si="1">IF(F24="","",F24-TODAY())</f>
        <v/>
      </c>
      <c r="J24" s="3" t="str">
        <f>IF(OR(F24="",A24=""),"",AND(F24&gt;=INDEX([1]Contracts!$B:$B, MATCH(A24, [1]Contracts!$A:$A, 0)), F24&lt;=INDEX([1]Contracts!$C:$C, MATCH(A24, [1]Contracts!$A:$A, 0))))</f>
        <v/>
      </c>
    </row>
    <row r="25" spans="1:11">
      <c r="I25" s="3" t="str">
        <f t="shared" ca="1" si="1"/>
        <v/>
      </c>
      <c r="J25" s="3" t="str">
        <f>IF(OR(F25="",A25=""),"",AND(F25&gt;=INDEX([1]Contracts!$B:$B, MATCH(A25, [1]Contracts!$A:$A, 0)), F25&lt;=INDEX([1]Contracts!$C:$C, MATCH(A25, [1]Contracts!$A:$A, 0))))</f>
        <v/>
      </c>
    </row>
    <row r="26" spans="1:11">
      <c r="I26" s="3" t="str">
        <f t="shared" ca="1" si="1"/>
        <v/>
      </c>
      <c r="J26" s="3" t="str">
        <f>IF(OR(F26="",A26=""),"",AND(F26&gt;=INDEX([1]Contracts!$B:$B, MATCH(A26, [1]Contracts!$A:$A, 0)), F26&lt;=INDEX([1]Contracts!$C:$C, MATCH(A26, [1]Contracts!$A:$A, 0))))</f>
        <v/>
      </c>
    </row>
    <row r="27" spans="1:11">
      <c r="I27" s="3" t="str">
        <f t="shared" ca="1" si="1"/>
        <v/>
      </c>
      <c r="J27" s="3" t="str">
        <f>IF(OR(F27="",A27=""),"",AND(F27&gt;=INDEX([1]Contracts!$B:$B, MATCH(A27, [1]Contracts!$A:$A, 0)), F27&lt;=INDEX([1]Contracts!$C:$C, MATCH(A27, [1]Contracts!$A:$A, 0))))</f>
        <v/>
      </c>
    </row>
    <row r="28" spans="1:11">
      <c r="I28" s="3" t="str">
        <f t="shared" ca="1" si="1"/>
        <v/>
      </c>
      <c r="J28" s="3" t="str">
        <f>IF(OR(F28="",A28=""),"",AND(F28&gt;=INDEX([1]Contracts!$B:$B, MATCH(A28, [1]Contracts!$A:$A, 0)), F28&lt;=INDEX([1]Contracts!$C:$C, MATCH(A28, [1]Contracts!$A:$A, 0))))</f>
        <v/>
      </c>
    </row>
    <row r="29" spans="1:11">
      <c r="I29" s="3" t="str">
        <f t="shared" ca="1" si="1"/>
        <v/>
      </c>
      <c r="J29" s="3" t="str">
        <f>IF(OR(F29="",A29=""),"",AND(F29&gt;=INDEX([1]Contracts!$B:$B, MATCH(A29, [1]Contracts!$A:$A, 0)), F29&lt;=INDEX([1]Contracts!$C:$C, MATCH(A29, [1]Contracts!$A:$A, 0))))</f>
        <v/>
      </c>
    </row>
    <row r="30" spans="1:11">
      <c r="I30" s="3" t="str">
        <f t="shared" ca="1" si="1"/>
        <v/>
      </c>
      <c r="J30" s="3" t="str">
        <f>IF(OR(F30="",A30=""),"",AND(F30&gt;=INDEX([1]Contracts!$B:$B, MATCH(A30, [1]Contracts!$A:$A, 0)), F30&lt;=INDEX([1]Contracts!$C:$C, MATCH(A30, [1]Contracts!$A:$A, 0))))</f>
        <v/>
      </c>
    </row>
    <row r="31" spans="1:11">
      <c r="I31" s="3" t="str">
        <f t="shared" ca="1" si="1"/>
        <v/>
      </c>
      <c r="J31" s="3" t="str">
        <f>IF(OR(F31="",A31=""),"",AND(F31&gt;=INDEX([1]Contracts!$B:$B, MATCH(A31, [1]Contracts!$A:$A, 0)), F31&lt;=INDEX([1]Contracts!$C:$C, MATCH(A31, [1]Contracts!$A:$A, 0))))</f>
        <v/>
      </c>
    </row>
    <row r="32" spans="1:11">
      <c r="I32" s="3" t="str">
        <f t="shared" ca="1" si="1"/>
        <v/>
      </c>
      <c r="J32" s="3" t="str">
        <f>IF(OR(F32="",A32=""),"",AND(F32&gt;=INDEX([1]Contracts!$B:$B, MATCH(A32, [1]Contracts!$A:$A, 0)), F32&lt;=INDEX([1]Contracts!$C:$C, MATCH(A32, [1]Contracts!$A:$A, 0))))</f>
        <v/>
      </c>
    </row>
    <row r="33" spans="9:10">
      <c r="I33" s="3" t="str">
        <f t="shared" ca="1" si="1"/>
        <v/>
      </c>
      <c r="J33" s="3" t="str">
        <f>IF(OR(F33="",A33=""),"",AND(F33&gt;=INDEX([1]Contracts!$B:$B, MATCH(A33, [1]Contracts!$A:$A, 0)), F33&lt;=INDEX([1]Contracts!$C:$C, MATCH(A33, [1]Contracts!$A:$A, 0))))</f>
        <v/>
      </c>
    </row>
    <row r="34" spans="9:10">
      <c r="I34" s="3" t="str">
        <f t="shared" ca="1" si="1"/>
        <v/>
      </c>
      <c r="J34" s="3" t="str">
        <f>IF(OR(F34="",A34=""),"",AND(F34&gt;=INDEX([1]Contracts!$B:$B, MATCH(A34, [1]Contracts!$A:$A, 0)), F34&lt;=INDEX([1]Contracts!$C:$C, MATCH(A34, [1]Contracts!$A:$A, 0))))</f>
        <v/>
      </c>
    </row>
    <row r="35" spans="9:10">
      <c r="I35" s="3" t="str">
        <f t="shared" ca="1" si="1"/>
        <v/>
      </c>
      <c r="J35" s="3" t="str">
        <f>IF(OR(F35="",A35=""),"",AND(F35&gt;=INDEX([1]Contracts!$B:$B, MATCH(A35, [1]Contracts!$A:$A, 0)), F35&lt;=INDEX([1]Contracts!$C:$C, MATCH(A35, [1]Contracts!$A:$A, 0))))</f>
        <v/>
      </c>
    </row>
    <row r="36" spans="9:10">
      <c r="I36" s="3" t="str">
        <f t="shared" ca="1" si="1"/>
        <v/>
      </c>
      <c r="J36" s="3" t="str">
        <f>IF(OR(F36="",A36=""),"",AND(F36&gt;=INDEX([1]Contracts!$B:$B, MATCH(A36, [1]Contracts!$A:$A, 0)), F36&lt;=INDEX([1]Contracts!$C:$C, MATCH(A36, [1]Contracts!$A:$A, 0))))</f>
        <v/>
      </c>
    </row>
    <row r="37" spans="9:10">
      <c r="I37" s="3" t="str">
        <f t="shared" ca="1" si="1"/>
        <v/>
      </c>
      <c r="J37" s="3" t="str">
        <f>IF(OR(F37="",A37=""),"",AND(F37&gt;=INDEX([1]Contracts!$B:$B, MATCH(A37, [1]Contracts!$A:$A, 0)), F37&lt;=INDEX([1]Contracts!$C:$C, MATCH(A37, [1]Contracts!$A:$A, 0))))</f>
        <v/>
      </c>
    </row>
    <row r="38" spans="9:10">
      <c r="I38" s="3" t="str">
        <f t="shared" ca="1" si="1"/>
        <v/>
      </c>
      <c r="J38" s="3" t="str">
        <f>IF(OR(F38="",A38=""),"",AND(F38&gt;=INDEX([1]Contracts!$B:$B, MATCH(A38, [1]Contracts!$A:$A, 0)), F38&lt;=INDEX([1]Contracts!$C:$C, MATCH(A38, [1]Contracts!$A:$A, 0))))</f>
        <v/>
      </c>
    </row>
    <row r="39" spans="9:10">
      <c r="I39" s="3" t="str">
        <f t="shared" ca="1" si="1"/>
        <v/>
      </c>
      <c r="J39" s="3" t="str">
        <f>IF(OR(F39="",A39=""),"",AND(F39&gt;=INDEX([1]Contracts!$B:$B, MATCH(A39, [1]Contracts!$A:$A, 0)), F39&lt;=INDEX([1]Contracts!$C:$C, MATCH(A39, [1]Contracts!$A:$A, 0))))</f>
        <v/>
      </c>
    </row>
    <row r="40" spans="9:10">
      <c r="I40" s="3" t="str">
        <f t="shared" ca="1" si="1"/>
        <v/>
      </c>
      <c r="J40" s="3" t="str">
        <f>IF(OR(F40="",A40=""),"",AND(F40&gt;=INDEX([1]Contracts!$B:$B, MATCH(A40, [1]Contracts!$A:$A, 0)), F40&lt;=INDEX([1]Contracts!$C:$C, MATCH(A40, [1]Contracts!$A:$A, 0))))</f>
        <v/>
      </c>
    </row>
    <row r="41" spans="9:10">
      <c r="I41" s="3" t="str">
        <f t="shared" ca="1" si="1"/>
        <v/>
      </c>
      <c r="J41" s="3" t="str">
        <f>IF(OR(F41="",A41=""),"",AND(F41&gt;=INDEX([1]Contracts!$B:$B, MATCH(A41, [1]Contracts!$A:$A, 0)), F41&lt;=INDEX([1]Contracts!$C:$C, MATCH(A41, [1]Contracts!$A:$A, 0))))</f>
        <v/>
      </c>
    </row>
    <row r="42" spans="9:10">
      <c r="I42" s="3" t="str">
        <f t="shared" ca="1" si="1"/>
        <v/>
      </c>
      <c r="J42" s="3" t="str">
        <f>IF(OR(F42="",A42=""),"",AND(F42&gt;=INDEX([1]Contracts!$B:$B, MATCH(A42, [1]Contracts!$A:$A, 0)), F42&lt;=INDEX([1]Contracts!$C:$C, MATCH(A42, [1]Contracts!$A:$A, 0))))</f>
        <v/>
      </c>
    </row>
    <row r="43" spans="9:10">
      <c r="I43" s="3" t="str">
        <f t="shared" ca="1" si="1"/>
        <v/>
      </c>
      <c r="J43" s="3" t="str">
        <f>IF(OR(F43="",A43=""),"",AND(F43&gt;=INDEX([1]Contracts!$B:$B, MATCH(A43, [1]Contracts!$A:$A, 0)), F43&lt;=INDEX([1]Contracts!$C:$C, MATCH(A43, [1]Contracts!$A:$A, 0))))</f>
        <v/>
      </c>
    </row>
    <row r="44" spans="9:10">
      <c r="I44" s="3" t="str">
        <f t="shared" ca="1" si="1"/>
        <v/>
      </c>
      <c r="J44" s="3" t="str">
        <f>IF(OR(F44="",A44=""),"",AND(F44&gt;=INDEX([1]Contracts!$B:$B, MATCH(A44, [1]Contracts!$A:$A, 0)), F44&lt;=INDEX([1]Contracts!$C:$C, MATCH(A44, [1]Contracts!$A:$A, 0))))</f>
        <v/>
      </c>
    </row>
    <row r="45" spans="9:10">
      <c r="I45" s="3" t="str">
        <f t="shared" ca="1" si="1"/>
        <v/>
      </c>
      <c r="J45" s="3" t="str">
        <f>IF(OR(F45="",A45=""),"",AND(F45&gt;=INDEX([1]Contracts!$B:$B, MATCH(A45, [1]Contracts!$A:$A, 0)), F45&lt;=INDEX([1]Contracts!$C:$C, MATCH(A45, [1]Contracts!$A:$A, 0))))</f>
        <v/>
      </c>
    </row>
    <row r="46" spans="9:10">
      <c r="I46" s="3" t="str">
        <f t="shared" ca="1" si="1"/>
        <v/>
      </c>
      <c r="J46" s="3" t="str">
        <f>IF(OR(F46="",A46=""),"",AND(F46&gt;=INDEX([1]Contracts!$B:$B, MATCH(A46, [1]Contracts!$A:$A, 0)), F46&lt;=INDEX([1]Contracts!$C:$C, MATCH(A46, [1]Contracts!$A:$A, 0))))</f>
        <v/>
      </c>
    </row>
    <row r="47" spans="9:10">
      <c r="I47" s="3" t="str">
        <f t="shared" ca="1" si="1"/>
        <v/>
      </c>
      <c r="J47" s="3" t="str">
        <f>IF(OR(F47="",A47=""),"",AND(F47&gt;=INDEX([1]Contracts!$B:$B, MATCH(A47, [1]Contracts!$A:$A, 0)), F47&lt;=INDEX([1]Contracts!$C:$C, MATCH(A47, [1]Contracts!$A:$A, 0))))</f>
        <v/>
      </c>
    </row>
    <row r="48" spans="9:10">
      <c r="I48" s="3" t="str">
        <f t="shared" ca="1" si="1"/>
        <v/>
      </c>
      <c r="J48" s="3" t="str">
        <f>IF(OR(F48="",A48=""),"",AND(F48&gt;=INDEX([1]Contracts!$B:$B, MATCH(A48, [1]Contracts!$A:$A, 0)), F48&lt;=INDEX([1]Contracts!$C:$C, MATCH(A48, [1]Contracts!$A:$A, 0))))</f>
        <v/>
      </c>
    </row>
    <row r="49" spans="9:10">
      <c r="I49" s="3" t="str">
        <f t="shared" ca="1" si="1"/>
        <v/>
      </c>
      <c r="J49" s="3" t="str">
        <f>IF(OR(F49="",A49=""),"",AND(F49&gt;=INDEX([1]Contracts!$B:$B, MATCH(A49, [1]Contracts!$A:$A, 0)), F49&lt;=INDEX([1]Contracts!$C:$C, MATCH(A49, [1]Contracts!$A:$A, 0))))</f>
        <v/>
      </c>
    </row>
    <row r="50" spans="9:10">
      <c r="I50" s="3" t="str">
        <f t="shared" ca="1" si="1"/>
        <v/>
      </c>
      <c r="J50" s="3" t="str">
        <f>IF(OR(F50="",A50=""),"",AND(F50&gt;=INDEX([1]Contracts!$B:$B, MATCH(A50, [1]Contracts!$A:$A, 0)), F50&lt;=INDEX([1]Contracts!$C:$C, MATCH(A50, [1]Contracts!$A:$A, 0))))</f>
        <v/>
      </c>
    </row>
    <row r="51" spans="9:10">
      <c r="I51" s="3" t="str">
        <f t="shared" ca="1" si="1"/>
        <v/>
      </c>
      <c r="J51" s="3" t="str">
        <f>IF(OR(F51="",A51=""),"",AND(F51&gt;=INDEX([1]Contracts!$B:$B, MATCH(A51, [1]Contracts!$A:$A, 0)), F51&lt;=INDEX([1]Contracts!$C:$C, MATCH(A51, [1]Contracts!$A:$A, 0))))</f>
        <v/>
      </c>
    </row>
    <row r="52" spans="9:10">
      <c r="I52" s="3" t="str">
        <f t="shared" ca="1" si="1"/>
        <v/>
      </c>
      <c r="J52" s="3" t="str">
        <f>IF(OR(F52="",A52=""),"",AND(F52&gt;=INDEX([1]Contracts!$B:$B, MATCH(A52, [1]Contracts!$A:$A, 0)), F52&lt;=INDEX([1]Contracts!$C:$C, MATCH(A52, [1]Contracts!$A:$A, 0))))</f>
        <v/>
      </c>
    </row>
    <row r="53" spans="9:10">
      <c r="I53" s="3" t="str">
        <f t="shared" ca="1" si="1"/>
        <v/>
      </c>
      <c r="J53" s="3" t="str">
        <f>IF(OR(F53="",A53=""),"",AND(F53&gt;=INDEX([1]Contracts!$B:$B, MATCH(A53, [1]Contracts!$A:$A, 0)), F53&lt;=INDEX([1]Contracts!$C:$C, MATCH(A53, [1]Contracts!$A:$A, 0))))</f>
        <v/>
      </c>
    </row>
    <row r="54" spans="9:10">
      <c r="I54" s="3" t="str">
        <f t="shared" ca="1" si="1"/>
        <v/>
      </c>
      <c r="J54" s="3" t="str">
        <f>IF(OR(F54="",A54=""),"",AND(F54&gt;=INDEX([1]Contracts!$B:$B, MATCH(A54, [1]Contracts!$A:$A, 0)), F54&lt;=INDEX([1]Contracts!$C:$C, MATCH(A54, [1]Contracts!$A:$A, 0))))</f>
        <v/>
      </c>
    </row>
    <row r="55" spans="9:10">
      <c r="I55" s="3" t="str">
        <f t="shared" ca="1" si="1"/>
        <v/>
      </c>
      <c r="J55" s="3" t="str">
        <f>IF(OR(F55="",A55=""),"",AND(F55&gt;=INDEX([1]Contracts!$B:$B, MATCH(A55, [1]Contracts!$A:$A, 0)), F55&lt;=INDEX([1]Contracts!$C:$C, MATCH(A55, [1]Contracts!$A:$A, 0))))</f>
        <v/>
      </c>
    </row>
    <row r="56" spans="9:10">
      <c r="I56" s="3" t="str">
        <f t="shared" ca="1" si="1"/>
        <v/>
      </c>
      <c r="J56" s="3" t="str">
        <f>IF(OR(F56="",A56=""),"",AND(F56&gt;=INDEX([1]Contracts!$B:$B, MATCH(A56, [1]Contracts!$A:$A, 0)), F56&lt;=INDEX([1]Contracts!$C:$C, MATCH(A56, [1]Contracts!$A:$A, 0))))</f>
        <v/>
      </c>
    </row>
    <row r="57" spans="9:10">
      <c r="I57" s="3" t="str">
        <f t="shared" ca="1" si="1"/>
        <v/>
      </c>
      <c r="J57" s="3" t="str">
        <f>IF(OR(F57="",A57=""),"",AND(F57&gt;=INDEX([1]Contracts!$B:$B, MATCH(A57, [1]Contracts!$A:$A, 0)), F57&lt;=INDEX([1]Contracts!$C:$C, MATCH(A57, [1]Contracts!$A:$A, 0))))</f>
        <v/>
      </c>
    </row>
    <row r="58" spans="9:10">
      <c r="I58" s="3" t="str">
        <f t="shared" ca="1" si="1"/>
        <v/>
      </c>
      <c r="J58" s="3" t="str">
        <f>IF(OR(F58="",A58=""),"",AND(F58&gt;=INDEX([1]Contracts!$B:$B, MATCH(A58, [1]Contracts!$A:$A, 0)), F58&lt;=INDEX([1]Contracts!$C:$C, MATCH(A58, [1]Contracts!$A:$A, 0))))</f>
        <v/>
      </c>
    </row>
    <row r="59" spans="9:10">
      <c r="I59" s="3" t="str">
        <f t="shared" ca="1" si="1"/>
        <v/>
      </c>
      <c r="J59" s="3" t="str">
        <f>IF(OR(F59="",A59=""),"",AND(F59&gt;=INDEX([1]Contracts!$B:$B, MATCH(A59, [1]Contracts!$A:$A, 0)), F59&lt;=INDEX([1]Contracts!$C:$C, MATCH(A59, [1]Contracts!$A:$A, 0))))</f>
        <v/>
      </c>
    </row>
    <row r="60" spans="9:10">
      <c r="I60" s="3" t="str">
        <f t="shared" ca="1" si="1"/>
        <v/>
      </c>
      <c r="J60" s="3" t="str">
        <f>IF(OR(F60="",A60=""),"",AND(F60&gt;=INDEX([1]Contracts!$B:$B, MATCH(A60, [1]Contracts!$A:$A, 0)), F60&lt;=INDEX([1]Contracts!$C:$C, MATCH(A60, [1]Contracts!$A:$A, 0))))</f>
        <v/>
      </c>
    </row>
    <row r="61" spans="9:10">
      <c r="I61" s="3" t="str">
        <f t="shared" ca="1" si="1"/>
        <v/>
      </c>
      <c r="J61" s="3" t="str">
        <f>IF(OR(F61="",A61=""),"",AND(F61&gt;=INDEX([1]Contracts!$B:$B, MATCH(A61, [1]Contracts!$A:$A, 0)), F61&lt;=INDEX([1]Contracts!$C:$C, MATCH(A61, [1]Contracts!$A:$A, 0))))</f>
        <v/>
      </c>
    </row>
    <row r="62" spans="9:10">
      <c r="I62" s="3" t="str">
        <f t="shared" ca="1" si="1"/>
        <v/>
      </c>
      <c r="J62" s="3" t="str">
        <f>IF(OR(F62="",A62=""),"",AND(F62&gt;=INDEX([1]Contracts!$B:$B, MATCH(A62, [1]Contracts!$A:$A, 0)), F62&lt;=INDEX([1]Contracts!$C:$C, MATCH(A62, [1]Contracts!$A:$A, 0))))</f>
        <v/>
      </c>
    </row>
    <row r="63" spans="9:10">
      <c r="I63" s="3" t="str">
        <f t="shared" ca="1" si="1"/>
        <v/>
      </c>
      <c r="J63" s="3" t="str">
        <f>IF(OR(F63="",A63=""),"",AND(F63&gt;=INDEX([1]Contracts!$B:$B, MATCH(A63, [1]Contracts!$A:$A, 0)), F63&lt;=INDEX([1]Contracts!$C:$C, MATCH(A63, [1]Contracts!$A:$A, 0))))</f>
        <v/>
      </c>
    </row>
    <row r="64" spans="9:10">
      <c r="I64" s="3" t="str">
        <f t="shared" ca="1" si="1"/>
        <v/>
      </c>
      <c r="J64" s="3" t="str">
        <f>IF(OR(F64="",A64=""),"",AND(F64&gt;=INDEX([1]Contracts!$B:$B, MATCH(A64, [1]Contracts!$A:$A, 0)), F64&lt;=INDEX([1]Contracts!$C:$C, MATCH(A64, [1]Contracts!$A:$A, 0))))</f>
        <v/>
      </c>
    </row>
    <row r="65" spans="9:10">
      <c r="I65" s="3" t="str">
        <f t="shared" ca="1" si="1"/>
        <v/>
      </c>
      <c r="J65" s="3" t="str">
        <f>IF(OR(F65="",A65=""),"",AND(F65&gt;=INDEX([1]Contracts!$B:$B, MATCH(A65, [1]Contracts!$A:$A, 0)), F65&lt;=INDEX([1]Contracts!$C:$C, MATCH(A65, [1]Contracts!$A:$A, 0))))</f>
        <v/>
      </c>
    </row>
    <row r="66" spans="9:10">
      <c r="I66" s="3" t="str">
        <f t="shared" ca="1" si="1"/>
        <v/>
      </c>
      <c r="J66" s="3" t="str">
        <f>IF(OR(F66="",A66=""),"",AND(F66&gt;=INDEX([1]Contracts!$B:$B, MATCH(A66, [1]Contracts!$A:$A, 0)), F66&lt;=INDEX([1]Contracts!$C:$C, MATCH(A66, [1]Contracts!$A:$A, 0))))</f>
        <v/>
      </c>
    </row>
    <row r="67" spans="9:10">
      <c r="I67" s="3" t="str">
        <f t="shared" ca="1" si="1"/>
        <v/>
      </c>
      <c r="J67" s="3" t="str">
        <f>IF(OR(F67="",A67=""),"",AND(F67&gt;=INDEX([1]Contracts!$B:$B, MATCH(A67, [1]Contracts!$A:$A, 0)), F67&lt;=INDEX([1]Contracts!$C:$C, MATCH(A67, [1]Contracts!$A:$A, 0))))</f>
        <v/>
      </c>
    </row>
    <row r="68" spans="9:10">
      <c r="I68" s="3" t="str">
        <f t="shared" ca="1" si="1"/>
        <v/>
      </c>
      <c r="J68" s="3" t="str">
        <f>IF(OR(F68="",A68=""),"",AND(F68&gt;=INDEX([1]Contracts!$B:$B, MATCH(A68, [1]Contracts!$A:$A, 0)), F68&lt;=INDEX([1]Contracts!$C:$C, MATCH(A68, [1]Contracts!$A:$A, 0))))</f>
        <v/>
      </c>
    </row>
    <row r="69" spans="9:10">
      <c r="I69" s="3" t="str">
        <f t="shared" ca="1" si="1"/>
        <v/>
      </c>
      <c r="J69" s="3" t="str">
        <f>IF(OR(F69="",A69=""),"",AND(F69&gt;=INDEX([1]Contracts!$B:$B, MATCH(A69, [1]Contracts!$A:$A, 0)), F69&lt;=INDEX([1]Contracts!$C:$C, MATCH(A69, [1]Contracts!$A:$A, 0))))</f>
        <v/>
      </c>
    </row>
    <row r="70" spans="9:10">
      <c r="I70" s="3" t="str">
        <f t="shared" ca="1" si="1"/>
        <v/>
      </c>
      <c r="J70" s="3" t="str">
        <f>IF(OR(F70="",A70=""),"",AND(F70&gt;=INDEX([1]Contracts!$B:$B, MATCH(A70, [1]Contracts!$A:$A, 0)), F70&lt;=INDEX([1]Contracts!$C:$C, MATCH(A70, [1]Contracts!$A:$A, 0))))</f>
        <v/>
      </c>
    </row>
    <row r="71" spans="9:10">
      <c r="I71" s="3" t="str">
        <f t="shared" ca="1" si="1"/>
        <v/>
      </c>
      <c r="J71" s="3" t="str">
        <f>IF(OR(F71="",A71=""),"",AND(F71&gt;=INDEX([1]Contracts!$B:$B, MATCH(A71, [1]Contracts!$A:$A, 0)), F71&lt;=INDEX([1]Contracts!$C:$C, MATCH(A71, [1]Contracts!$A:$A, 0))))</f>
        <v/>
      </c>
    </row>
    <row r="72" spans="9:10">
      <c r="I72" s="3" t="str">
        <f t="shared" ref="I72:I135" ca="1" si="2">IF(F72="","",F72-TODAY())</f>
        <v/>
      </c>
      <c r="J72" s="3" t="str">
        <f>IF(OR(F72="",A72=""),"",AND(F72&gt;=INDEX([1]Contracts!$B:$B, MATCH(A72, [1]Contracts!$A:$A, 0)), F72&lt;=INDEX([1]Contracts!$C:$C, MATCH(A72, [1]Contracts!$A:$A, 0))))</f>
        <v/>
      </c>
    </row>
    <row r="73" spans="9:10">
      <c r="I73" s="3" t="str">
        <f t="shared" ca="1" si="2"/>
        <v/>
      </c>
      <c r="J73" s="3" t="str">
        <f>IF(OR(F73="",A73=""),"",AND(F73&gt;=INDEX([1]Contracts!$B:$B, MATCH(A73, [1]Contracts!$A:$A, 0)), F73&lt;=INDEX([1]Contracts!$C:$C, MATCH(A73, [1]Contracts!$A:$A, 0))))</f>
        <v/>
      </c>
    </row>
    <row r="74" spans="9:10">
      <c r="I74" s="3" t="str">
        <f t="shared" ca="1" si="2"/>
        <v/>
      </c>
      <c r="J74" s="3" t="str">
        <f>IF(OR(F74="",A74=""),"",AND(F74&gt;=INDEX([1]Contracts!$B:$B, MATCH(A74, [1]Contracts!$A:$A, 0)), F74&lt;=INDEX([1]Contracts!$C:$C, MATCH(A74, [1]Contracts!$A:$A, 0))))</f>
        <v/>
      </c>
    </row>
    <row r="75" spans="9:10">
      <c r="I75" s="3" t="str">
        <f t="shared" ca="1" si="2"/>
        <v/>
      </c>
      <c r="J75" s="3" t="str">
        <f>IF(OR(F75="",A75=""),"",AND(F75&gt;=INDEX([1]Contracts!$B:$B, MATCH(A75, [1]Contracts!$A:$A, 0)), F75&lt;=INDEX([1]Contracts!$C:$C, MATCH(A75, [1]Contracts!$A:$A, 0))))</f>
        <v/>
      </c>
    </row>
    <row r="76" spans="9:10">
      <c r="I76" s="3" t="str">
        <f t="shared" ca="1" si="2"/>
        <v/>
      </c>
      <c r="J76" s="3" t="str">
        <f>IF(OR(F76="",A76=""),"",AND(F76&gt;=INDEX([1]Contracts!$B:$B, MATCH(A76, [1]Contracts!$A:$A, 0)), F76&lt;=INDEX([1]Contracts!$C:$C, MATCH(A76, [1]Contracts!$A:$A, 0))))</f>
        <v/>
      </c>
    </row>
    <row r="77" spans="9:10">
      <c r="I77" s="3" t="str">
        <f t="shared" ca="1" si="2"/>
        <v/>
      </c>
      <c r="J77" s="3" t="str">
        <f>IF(OR(F77="",A77=""),"",AND(F77&gt;=INDEX([1]Contracts!$B:$B, MATCH(A77, [1]Contracts!$A:$A, 0)), F77&lt;=INDEX([1]Contracts!$C:$C, MATCH(A77, [1]Contracts!$A:$A, 0))))</f>
        <v/>
      </c>
    </row>
    <row r="78" spans="9:10">
      <c r="I78" s="3" t="str">
        <f t="shared" ca="1" si="2"/>
        <v/>
      </c>
      <c r="J78" s="3" t="str">
        <f>IF(OR(F78="",A78=""),"",AND(F78&gt;=INDEX([1]Contracts!$B:$B, MATCH(A78, [1]Contracts!$A:$A, 0)), F78&lt;=INDEX([1]Contracts!$C:$C, MATCH(A78, [1]Contracts!$A:$A, 0))))</f>
        <v/>
      </c>
    </row>
    <row r="79" spans="9:10">
      <c r="I79" s="3" t="str">
        <f t="shared" ca="1" si="2"/>
        <v/>
      </c>
      <c r="J79" s="3" t="str">
        <f>IF(OR(F79="",A79=""),"",AND(F79&gt;=INDEX([1]Contracts!$B:$B, MATCH(A79, [1]Contracts!$A:$A, 0)), F79&lt;=INDEX([1]Contracts!$C:$C, MATCH(A79, [1]Contracts!$A:$A, 0))))</f>
        <v/>
      </c>
    </row>
    <row r="80" spans="9:10">
      <c r="I80" s="3" t="str">
        <f t="shared" ca="1" si="2"/>
        <v/>
      </c>
      <c r="J80" s="3" t="str">
        <f>IF(OR(F80="",A80=""),"",AND(F80&gt;=INDEX([1]Contracts!$B:$B, MATCH(A80, [1]Contracts!$A:$A, 0)), F80&lt;=INDEX([1]Contracts!$C:$C, MATCH(A80, [1]Contracts!$A:$A, 0))))</f>
        <v/>
      </c>
    </row>
    <row r="81" spans="9:10">
      <c r="I81" s="3" t="str">
        <f t="shared" ca="1" si="2"/>
        <v/>
      </c>
      <c r="J81" s="3" t="str">
        <f>IF(OR(F81="",A81=""),"",AND(F81&gt;=INDEX([1]Contracts!$B:$B, MATCH(A81, [1]Contracts!$A:$A, 0)), F81&lt;=INDEX([1]Contracts!$C:$C, MATCH(A81, [1]Contracts!$A:$A, 0))))</f>
        <v/>
      </c>
    </row>
    <row r="82" spans="9:10">
      <c r="I82" s="3" t="str">
        <f t="shared" ca="1" si="2"/>
        <v/>
      </c>
      <c r="J82" s="3" t="str">
        <f>IF(OR(F82="",A82=""),"",AND(F82&gt;=INDEX([1]Contracts!$B:$B, MATCH(A82, [1]Contracts!$A:$A, 0)), F82&lt;=INDEX([1]Contracts!$C:$C, MATCH(A82, [1]Contracts!$A:$A, 0))))</f>
        <v/>
      </c>
    </row>
    <row r="83" spans="9:10">
      <c r="I83" s="3" t="str">
        <f t="shared" ca="1" si="2"/>
        <v/>
      </c>
      <c r="J83" s="3" t="str">
        <f>IF(OR(F83="",A83=""),"",AND(F83&gt;=INDEX([1]Contracts!$B:$B, MATCH(A83, [1]Contracts!$A:$A, 0)), F83&lt;=INDEX([1]Contracts!$C:$C, MATCH(A83, [1]Contracts!$A:$A, 0))))</f>
        <v/>
      </c>
    </row>
    <row r="84" spans="9:10">
      <c r="I84" s="3" t="str">
        <f t="shared" ca="1" si="2"/>
        <v/>
      </c>
      <c r="J84" s="3" t="str">
        <f>IF(OR(F84="",A84=""),"",AND(F84&gt;=INDEX([1]Contracts!$B:$B, MATCH(A84, [1]Contracts!$A:$A, 0)), F84&lt;=INDEX([1]Contracts!$C:$C, MATCH(A84, [1]Contracts!$A:$A, 0))))</f>
        <v/>
      </c>
    </row>
    <row r="85" spans="9:10">
      <c r="I85" s="3" t="str">
        <f t="shared" ca="1" si="2"/>
        <v/>
      </c>
      <c r="J85" s="3" t="str">
        <f>IF(OR(F85="",A85=""),"",AND(F85&gt;=INDEX([1]Contracts!$B:$B, MATCH(A85, [1]Contracts!$A:$A, 0)), F85&lt;=INDEX([1]Contracts!$C:$C, MATCH(A85, [1]Contracts!$A:$A, 0))))</f>
        <v/>
      </c>
    </row>
    <row r="86" spans="9:10">
      <c r="I86" s="3" t="str">
        <f t="shared" ca="1" si="2"/>
        <v/>
      </c>
      <c r="J86" s="3" t="str">
        <f>IF(OR(F86="",A86=""),"",AND(F86&gt;=INDEX([1]Contracts!$B:$B, MATCH(A86, [1]Contracts!$A:$A, 0)), F86&lt;=INDEX([1]Contracts!$C:$C, MATCH(A86, [1]Contracts!$A:$A, 0))))</f>
        <v/>
      </c>
    </row>
    <row r="87" spans="9:10">
      <c r="I87" s="3" t="str">
        <f t="shared" ca="1" si="2"/>
        <v/>
      </c>
      <c r="J87" s="3" t="str">
        <f>IF(OR(F87="",A87=""),"",AND(F87&gt;=INDEX([1]Contracts!$B:$B, MATCH(A87, [1]Contracts!$A:$A, 0)), F87&lt;=INDEX([1]Contracts!$C:$C, MATCH(A87, [1]Contracts!$A:$A, 0))))</f>
        <v/>
      </c>
    </row>
    <row r="88" spans="9:10">
      <c r="I88" s="3" t="str">
        <f t="shared" ca="1" si="2"/>
        <v/>
      </c>
      <c r="J88" s="3" t="str">
        <f>IF(OR(F88="",A88=""),"",AND(F88&gt;=INDEX([1]Contracts!$B:$B, MATCH(A88, [1]Contracts!$A:$A, 0)), F88&lt;=INDEX([1]Contracts!$C:$C, MATCH(A88, [1]Contracts!$A:$A, 0))))</f>
        <v/>
      </c>
    </row>
    <row r="89" spans="9:10">
      <c r="I89" s="3" t="str">
        <f t="shared" ca="1" si="2"/>
        <v/>
      </c>
      <c r="J89" s="3" t="str">
        <f>IF(OR(F89="",A89=""),"",AND(F89&gt;=INDEX([1]Contracts!$B:$B, MATCH(A89, [1]Contracts!$A:$A, 0)), F89&lt;=INDEX([1]Contracts!$C:$C, MATCH(A89, [1]Contracts!$A:$A, 0))))</f>
        <v/>
      </c>
    </row>
    <row r="90" spans="9:10">
      <c r="I90" s="3" t="str">
        <f t="shared" ca="1" si="2"/>
        <v/>
      </c>
      <c r="J90" s="3" t="str">
        <f>IF(OR(F90="",A90=""),"",AND(F90&gt;=INDEX([1]Contracts!$B:$B, MATCH(A90, [1]Contracts!$A:$A, 0)), F90&lt;=INDEX([1]Contracts!$C:$C, MATCH(A90, [1]Contracts!$A:$A, 0))))</f>
        <v/>
      </c>
    </row>
    <row r="91" spans="9:10">
      <c r="I91" s="3" t="str">
        <f t="shared" ca="1" si="2"/>
        <v/>
      </c>
      <c r="J91" s="3" t="str">
        <f>IF(OR(F91="",A91=""),"",AND(F91&gt;=INDEX([1]Contracts!$B:$B, MATCH(A91, [1]Contracts!$A:$A, 0)), F91&lt;=INDEX([1]Contracts!$C:$C, MATCH(A91, [1]Contracts!$A:$A, 0))))</f>
        <v/>
      </c>
    </row>
    <row r="92" spans="9:10">
      <c r="I92" s="3" t="str">
        <f t="shared" ca="1" si="2"/>
        <v/>
      </c>
      <c r="J92" s="3" t="str">
        <f>IF(OR(F92="",A92=""),"",AND(F92&gt;=INDEX([1]Contracts!$B:$B, MATCH(A92, [1]Contracts!$A:$A, 0)), F92&lt;=INDEX([1]Contracts!$C:$C, MATCH(A92, [1]Contracts!$A:$A, 0))))</f>
        <v/>
      </c>
    </row>
    <row r="93" spans="9:10">
      <c r="I93" s="3" t="str">
        <f t="shared" ca="1" si="2"/>
        <v/>
      </c>
      <c r="J93" s="3" t="str">
        <f>IF(OR(F93="",A93=""),"",AND(F93&gt;=INDEX([1]Contracts!$B:$B, MATCH(A93, [1]Contracts!$A:$A, 0)), F93&lt;=INDEX([1]Contracts!$C:$C, MATCH(A93, [1]Contracts!$A:$A, 0))))</f>
        <v/>
      </c>
    </row>
    <row r="94" spans="9:10">
      <c r="I94" s="3" t="str">
        <f t="shared" ca="1" si="2"/>
        <v/>
      </c>
      <c r="J94" s="3" t="str">
        <f>IF(OR(F94="",A94=""),"",AND(F94&gt;=INDEX([1]Contracts!$B:$B, MATCH(A94, [1]Contracts!$A:$A, 0)), F94&lt;=INDEX([1]Contracts!$C:$C, MATCH(A94, [1]Contracts!$A:$A, 0))))</f>
        <v/>
      </c>
    </row>
    <row r="95" spans="9:10">
      <c r="I95" s="3" t="str">
        <f t="shared" ca="1" si="2"/>
        <v/>
      </c>
      <c r="J95" s="3" t="str">
        <f>IF(OR(F95="",A95=""),"",AND(F95&gt;=INDEX([1]Contracts!$B:$B, MATCH(A95, [1]Contracts!$A:$A, 0)), F95&lt;=INDEX([1]Contracts!$C:$C, MATCH(A95, [1]Contracts!$A:$A, 0))))</f>
        <v/>
      </c>
    </row>
    <row r="96" spans="9:10">
      <c r="I96" s="3" t="str">
        <f t="shared" ca="1" si="2"/>
        <v/>
      </c>
      <c r="J96" s="3" t="str">
        <f>IF(OR(F96="",A96=""),"",AND(F96&gt;=INDEX([1]Contracts!$B:$B, MATCH(A96, [1]Contracts!$A:$A, 0)), F96&lt;=INDEX([1]Contracts!$C:$C, MATCH(A96, [1]Contracts!$A:$A, 0))))</f>
        <v/>
      </c>
    </row>
    <row r="97" spans="9:10">
      <c r="I97" s="3" t="str">
        <f t="shared" ca="1" si="2"/>
        <v/>
      </c>
      <c r="J97" s="3" t="str">
        <f>IF(OR(F97="",A97=""),"",AND(F97&gt;=INDEX([1]Contracts!$B:$B, MATCH(A97, [1]Contracts!$A:$A, 0)), F97&lt;=INDEX([1]Contracts!$C:$C, MATCH(A97, [1]Contracts!$A:$A, 0))))</f>
        <v/>
      </c>
    </row>
    <row r="98" spans="9:10">
      <c r="I98" s="3" t="str">
        <f t="shared" ca="1" si="2"/>
        <v/>
      </c>
      <c r="J98" s="3" t="str">
        <f>IF(OR(F98="",A98=""),"",AND(F98&gt;=INDEX([1]Contracts!$B:$B, MATCH(A98, [1]Contracts!$A:$A, 0)), F98&lt;=INDEX([1]Contracts!$C:$C, MATCH(A98, [1]Contracts!$A:$A, 0))))</f>
        <v/>
      </c>
    </row>
    <row r="99" spans="9:10">
      <c r="I99" s="3" t="str">
        <f t="shared" ca="1" si="2"/>
        <v/>
      </c>
      <c r="J99" s="3" t="str">
        <f>IF(OR(F99="",A99=""),"",AND(F99&gt;=INDEX([1]Contracts!$B:$B, MATCH(A99, [1]Contracts!$A:$A, 0)), F99&lt;=INDEX([1]Contracts!$C:$C, MATCH(A99, [1]Contracts!$A:$A, 0))))</f>
        <v/>
      </c>
    </row>
    <row r="100" spans="9:10">
      <c r="I100" s="3" t="str">
        <f t="shared" ca="1" si="2"/>
        <v/>
      </c>
      <c r="J100" s="3" t="str">
        <f>IF(OR(F100="",A100=""),"",AND(F100&gt;=INDEX([1]Contracts!$B:$B, MATCH(A100, [1]Contracts!$A:$A, 0)), F100&lt;=INDEX([1]Contracts!$C:$C, MATCH(A100, [1]Contracts!$A:$A, 0))))</f>
        <v/>
      </c>
    </row>
    <row r="101" spans="9:10">
      <c r="I101" s="3" t="str">
        <f t="shared" ca="1" si="2"/>
        <v/>
      </c>
      <c r="J101" s="3" t="str">
        <f>IF(OR(F101="",A101=""),"",AND(F101&gt;=INDEX([1]Contracts!$B:$B, MATCH(A101, [1]Contracts!$A:$A, 0)), F101&lt;=INDEX([1]Contracts!$C:$C, MATCH(A101, [1]Contracts!$A:$A, 0))))</f>
        <v/>
      </c>
    </row>
    <row r="102" spans="9:10">
      <c r="I102" s="3" t="str">
        <f t="shared" ca="1" si="2"/>
        <v/>
      </c>
      <c r="J102" s="3" t="str">
        <f>IF(OR(F102="",A102=""),"",AND(F102&gt;=INDEX([1]Contracts!$B:$B, MATCH(A102, [1]Contracts!$A:$A, 0)), F102&lt;=INDEX([1]Contracts!$C:$C, MATCH(A102, [1]Contracts!$A:$A, 0))))</f>
        <v/>
      </c>
    </row>
    <row r="103" spans="9:10">
      <c r="I103" s="3" t="str">
        <f t="shared" ca="1" si="2"/>
        <v/>
      </c>
      <c r="J103" s="3" t="str">
        <f>IF(OR(F103="",A103=""),"",AND(F103&gt;=INDEX([1]Contracts!$B:$B, MATCH(A103, [1]Contracts!$A:$A, 0)), F103&lt;=INDEX([1]Contracts!$C:$C, MATCH(A103, [1]Contracts!$A:$A, 0))))</f>
        <v/>
      </c>
    </row>
    <row r="104" spans="9:10">
      <c r="I104" s="3" t="str">
        <f t="shared" ca="1" si="2"/>
        <v/>
      </c>
      <c r="J104" s="3" t="str">
        <f>IF(OR(F104="",A104=""),"",AND(F104&gt;=INDEX([1]Contracts!$B:$B, MATCH(A104, [1]Contracts!$A:$A, 0)), F104&lt;=INDEX([1]Contracts!$C:$C, MATCH(A104, [1]Contracts!$A:$A, 0))))</f>
        <v/>
      </c>
    </row>
    <row r="105" spans="9:10">
      <c r="I105" s="3" t="str">
        <f t="shared" ca="1" si="2"/>
        <v/>
      </c>
      <c r="J105" s="3" t="str">
        <f>IF(OR(F105="",A105=""),"",AND(F105&gt;=INDEX([1]Contracts!$B:$B, MATCH(A105, [1]Contracts!$A:$A, 0)), F105&lt;=INDEX([1]Contracts!$C:$C, MATCH(A105, [1]Contracts!$A:$A, 0))))</f>
        <v/>
      </c>
    </row>
    <row r="106" spans="9:10">
      <c r="I106" s="3" t="str">
        <f t="shared" ca="1" si="2"/>
        <v/>
      </c>
      <c r="J106" s="3" t="str">
        <f>IF(OR(F106="",A106=""),"",AND(F106&gt;=INDEX([1]Contracts!$B:$B, MATCH(A106, [1]Contracts!$A:$A, 0)), F106&lt;=INDEX([1]Contracts!$C:$C, MATCH(A106, [1]Contracts!$A:$A, 0))))</f>
        <v/>
      </c>
    </row>
    <row r="107" spans="9:10">
      <c r="I107" s="3" t="str">
        <f t="shared" ca="1" si="2"/>
        <v/>
      </c>
      <c r="J107" s="3" t="str">
        <f>IF(OR(F107="",A107=""),"",AND(F107&gt;=INDEX([1]Contracts!$B:$B, MATCH(A107, [1]Contracts!$A:$A, 0)), F107&lt;=INDEX([1]Contracts!$C:$C, MATCH(A107, [1]Contracts!$A:$A, 0))))</f>
        <v/>
      </c>
    </row>
    <row r="108" spans="9:10">
      <c r="I108" s="3" t="str">
        <f t="shared" ca="1" si="2"/>
        <v/>
      </c>
      <c r="J108" s="3" t="str">
        <f>IF(OR(F108="",A108=""),"",AND(F108&gt;=INDEX([1]Contracts!$B:$B, MATCH(A108, [1]Contracts!$A:$A, 0)), F108&lt;=INDEX([1]Contracts!$C:$C, MATCH(A108, [1]Contracts!$A:$A, 0))))</f>
        <v/>
      </c>
    </row>
    <row r="109" spans="9:10">
      <c r="I109" s="3" t="str">
        <f t="shared" ca="1" si="2"/>
        <v/>
      </c>
      <c r="J109" s="3" t="str">
        <f>IF(OR(F109="",A109=""),"",AND(F109&gt;=INDEX([1]Contracts!$B:$B, MATCH(A109, [1]Contracts!$A:$A, 0)), F109&lt;=INDEX([1]Contracts!$C:$C, MATCH(A109, [1]Contracts!$A:$A, 0))))</f>
        <v/>
      </c>
    </row>
    <row r="110" spans="9:10">
      <c r="I110" s="3" t="str">
        <f t="shared" ca="1" si="2"/>
        <v/>
      </c>
      <c r="J110" s="3" t="str">
        <f>IF(OR(F110="",A110=""),"",AND(F110&gt;=INDEX([1]Contracts!$B:$B, MATCH(A110, [1]Contracts!$A:$A, 0)), F110&lt;=INDEX([1]Contracts!$C:$C, MATCH(A110, [1]Contracts!$A:$A, 0))))</f>
        <v/>
      </c>
    </row>
    <row r="111" spans="9:10">
      <c r="I111" s="3" t="str">
        <f t="shared" ca="1" si="2"/>
        <v/>
      </c>
      <c r="J111" s="3" t="str">
        <f>IF(OR(F111="",A111=""),"",AND(F111&gt;=INDEX([1]Contracts!$B:$B, MATCH(A111, [1]Contracts!$A:$A, 0)), F111&lt;=INDEX([1]Contracts!$C:$C, MATCH(A111, [1]Contracts!$A:$A, 0))))</f>
        <v/>
      </c>
    </row>
    <row r="112" spans="9:10">
      <c r="I112" s="3" t="str">
        <f t="shared" ca="1" si="2"/>
        <v/>
      </c>
      <c r="J112" s="3" t="str">
        <f>IF(OR(F112="",A112=""),"",AND(F112&gt;=INDEX([1]Contracts!$B:$B, MATCH(A112, [1]Contracts!$A:$A, 0)), F112&lt;=INDEX([1]Contracts!$C:$C, MATCH(A112, [1]Contracts!$A:$A, 0))))</f>
        <v/>
      </c>
    </row>
    <row r="113" spans="9:10">
      <c r="I113" s="3" t="str">
        <f t="shared" ca="1" si="2"/>
        <v/>
      </c>
      <c r="J113" s="3" t="str">
        <f>IF(OR(F113="",A113=""),"",AND(F113&gt;=INDEX([1]Contracts!$B:$B, MATCH(A113, [1]Contracts!$A:$A, 0)), F113&lt;=INDEX([1]Contracts!$C:$C, MATCH(A113, [1]Contracts!$A:$A, 0))))</f>
        <v/>
      </c>
    </row>
    <row r="114" spans="9:10">
      <c r="I114" s="3" t="str">
        <f t="shared" ca="1" si="2"/>
        <v/>
      </c>
      <c r="J114" s="3" t="str">
        <f>IF(OR(F114="",A114=""),"",AND(F114&gt;=INDEX([1]Contracts!$B:$B, MATCH(A114, [1]Contracts!$A:$A, 0)), F114&lt;=INDEX([1]Contracts!$C:$C, MATCH(A114, [1]Contracts!$A:$A, 0))))</f>
        <v/>
      </c>
    </row>
    <row r="115" spans="9:10">
      <c r="I115" s="3" t="str">
        <f t="shared" ca="1" si="2"/>
        <v/>
      </c>
      <c r="J115" s="3" t="str">
        <f>IF(OR(F115="",A115=""),"",AND(F115&gt;=INDEX([1]Contracts!$B:$B, MATCH(A115, [1]Contracts!$A:$A, 0)), F115&lt;=INDEX([1]Contracts!$C:$C, MATCH(A115, [1]Contracts!$A:$A, 0))))</f>
        <v/>
      </c>
    </row>
    <row r="116" spans="9:10">
      <c r="I116" s="3" t="str">
        <f t="shared" ca="1" si="2"/>
        <v/>
      </c>
      <c r="J116" s="3" t="str">
        <f>IF(OR(F116="",A116=""),"",AND(F116&gt;=INDEX([1]Contracts!$B:$B, MATCH(A116, [1]Contracts!$A:$A, 0)), F116&lt;=INDEX([1]Contracts!$C:$C, MATCH(A116, [1]Contracts!$A:$A, 0))))</f>
        <v/>
      </c>
    </row>
    <row r="117" spans="9:10">
      <c r="I117" s="3" t="str">
        <f t="shared" ca="1" si="2"/>
        <v/>
      </c>
      <c r="J117" s="3" t="str">
        <f>IF(OR(F117="",A117=""),"",AND(F117&gt;=INDEX([1]Contracts!$B:$B, MATCH(A117, [1]Contracts!$A:$A, 0)), F117&lt;=INDEX([1]Contracts!$C:$C, MATCH(A117, [1]Contracts!$A:$A, 0))))</f>
        <v/>
      </c>
    </row>
    <row r="118" spans="9:10">
      <c r="I118" s="3" t="str">
        <f t="shared" ca="1" si="2"/>
        <v/>
      </c>
      <c r="J118" s="3" t="str">
        <f>IF(OR(F118="",A118=""),"",AND(F118&gt;=INDEX([1]Contracts!$B:$B, MATCH(A118, [1]Contracts!$A:$A, 0)), F118&lt;=INDEX([1]Contracts!$C:$C, MATCH(A118, [1]Contracts!$A:$A, 0))))</f>
        <v/>
      </c>
    </row>
    <row r="119" spans="9:10">
      <c r="I119" s="3" t="str">
        <f t="shared" ca="1" si="2"/>
        <v/>
      </c>
      <c r="J119" s="3" t="str">
        <f>IF(OR(F119="",A119=""),"",AND(F119&gt;=INDEX([1]Contracts!$B:$B, MATCH(A119, [1]Contracts!$A:$A, 0)), F119&lt;=INDEX([1]Contracts!$C:$C, MATCH(A119, [1]Contracts!$A:$A, 0))))</f>
        <v/>
      </c>
    </row>
    <row r="120" spans="9:10">
      <c r="I120" s="3" t="str">
        <f t="shared" ca="1" si="2"/>
        <v/>
      </c>
      <c r="J120" s="3" t="str">
        <f>IF(OR(F120="",A120=""),"",AND(F120&gt;=INDEX([1]Contracts!$B:$B, MATCH(A120, [1]Contracts!$A:$A, 0)), F120&lt;=INDEX([1]Contracts!$C:$C, MATCH(A120, [1]Contracts!$A:$A, 0))))</f>
        <v/>
      </c>
    </row>
    <row r="121" spans="9:10">
      <c r="I121" s="3" t="str">
        <f t="shared" ca="1" si="2"/>
        <v/>
      </c>
      <c r="J121" s="3" t="str">
        <f>IF(OR(F121="",A121=""),"",AND(F121&gt;=INDEX([1]Contracts!$B:$B, MATCH(A121, [1]Contracts!$A:$A, 0)), F121&lt;=INDEX([1]Contracts!$C:$C, MATCH(A121, [1]Contracts!$A:$A, 0))))</f>
        <v/>
      </c>
    </row>
    <row r="122" spans="9:10">
      <c r="I122" s="3" t="str">
        <f t="shared" ca="1" si="2"/>
        <v/>
      </c>
      <c r="J122" s="3" t="str">
        <f>IF(OR(F122="",A122=""),"",AND(F122&gt;=INDEX([1]Contracts!$B:$B, MATCH(A122, [1]Contracts!$A:$A, 0)), F122&lt;=INDEX([1]Contracts!$C:$C, MATCH(A122, [1]Contracts!$A:$A, 0))))</f>
        <v/>
      </c>
    </row>
    <row r="123" spans="9:10">
      <c r="I123" s="3" t="str">
        <f t="shared" ca="1" si="2"/>
        <v/>
      </c>
      <c r="J123" s="3" t="str">
        <f>IF(OR(F123="",A123=""),"",AND(F123&gt;=INDEX([1]Contracts!$B:$B, MATCH(A123, [1]Contracts!$A:$A, 0)), F123&lt;=INDEX([1]Contracts!$C:$C, MATCH(A123, [1]Contracts!$A:$A, 0))))</f>
        <v/>
      </c>
    </row>
    <row r="124" spans="9:10">
      <c r="I124" s="3" t="str">
        <f t="shared" ca="1" si="2"/>
        <v/>
      </c>
      <c r="J124" s="3" t="str">
        <f>IF(OR(F124="",A124=""),"",AND(F124&gt;=INDEX([1]Contracts!$B:$B, MATCH(A124, [1]Contracts!$A:$A, 0)), F124&lt;=INDEX([1]Contracts!$C:$C, MATCH(A124, [1]Contracts!$A:$A, 0))))</f>
        <v/>
      </c>
    </row>
    <row r="125" spans="9:10">
      <c r="I125" s="3" t="str">
        <f t="shared" ca="1" si="2"/>
        <v/>
      </c>
      <c r="J125" s="3" t="str">
        <f>IF(OR(F125="",A125=""),"",AND(F125&gt;=INDEX([1]Contracts!$B:$B, MATCH(A125, [1]Contracts!$A:$A, 0)), F125&lt;=INDEX([1]Contracts!$C:$C, MATCH(A125, [1]Contracts!$A:$A, 0))))</f>
        <v/>
      </c>
    </row>
    <row r="126" spans="9:10">
      <c r="I126" s="3" t="str">
        <f t="shared" ca="1" si="2"/>
        <v/>
      </c>
      <c r="J126" s="3" t="str">
        <f>IF(OR(F126="",A126=""),"",AND(F126&gt;=INDEX([1]Contracts!$B:$B, MATCH(A126, [1]Contracts!$A:$A, 0)), F126&lt;=INDEX([1]Contracts!$C:$C, MATCH(A126, [1]Contracts!$A:$A, 0))))</f>
        <v/>
      </c>
    </row>
    <row r="127" spans="9:10">
      <c r="I127" s="3" t="str">
        <f t="shared" ca="1" si="2"/>
        <v/>
      </c>
      <c r="J127" s="3" t="str">
        <f>IF(OR(F127="",A127=""),"",AND(F127&gt;=INDEX([1]Contracts!$B:$B, MATCH(A127, [1]Contracts!$A:$A, 0)), F127&lt;=INDEX([1]Contracts!$C:$C, MATCH(A127, [1]Contracts!$A:$A, 0))))</f>
        <v/>
      </c>
    </row>
    <row r="128" spans="9:10">
      <c r="I128" s="3" t="str">
        <f t="shared" ca="1" si="2"/>
        <v/>
      </c>
      <c r="J128" s="3" t="str">
        <f>IF(OR(F128="",A128=""),"",AND(F128&gt;=INDEX([1]Contracts!$B:$B, MATCH(A128, [1]Contracts!$A:$A, 0)), F128&lt;=INDEX([1]Contracts!$C:$C, MATCH(A128, [1]Contracts!$A:$A, 0))))</f>
        <v/>
      </c>
    </row>
    <row r="129" spans="9:10">
      <c r="I129" s="3" t="str">
        <f t="shared" ca="1" si="2"/>
        <v/>
      </c>
      <c r="J129" s="3" t="str">
        <f>IF(OR(F129="",A129=""),"",AND(F129&gt;=INDEX([1]Contracts!$B:$B, MATCH(A129, [1]Contracts!$A:$A, 0)), F129&lt;=INDEX([1]Contracts!$C:$C, MATCH(A129, [1]Contracts!$A:$A, 0))))</f>
        <v/>
      </c>
    </row>
    <row r="130" spans="9:10">
      <c r="I130" s="3" t="str">
        <f t="shared" ca="1" si="2"/>
        <v/>
      </c>
      <c r="J130" s="3" t="str">
        <f>IF(OR(F130="",A130=""),"",AND(F130&gt;=INDEX([1]Contracts!$B:$B, MATCH(A130, [1]Contracts!$A:$A, 0)), F130&lt;=INDEX([1]Contracts!$C:$C, MATCH(A130, [1]Contracts!$A:$A, 0))))</f>
        <v/>
      </c>
    </row>
    <row r="131" spans="9:10">
      <c r="I131" s="3" t="str">
        <f t="shared" ca="1" si="2"/>
        <v/>
      </c>
      <c r="J131" s="3" t="str">
        <f>IF(OR(F131="",A131=""),"",AND(F131&gt;=INDEX([1]Contracts!$B:$B, MATCH(A131, [1]Contracts!$A:$A, 0)), F131&lt;=INDEX([1]Contracts!$C:$C, MATCH(A131, [1]Contracts!$A:$A, 0))))</f>
        <v/>
      </c>
    </row>
    <row r="132" spans="9:10">
      <c r="I132" s="3" t="str">
        <f t="shared" ca="1" si="2"/>
        <v/>
      </c>
      <c r="J132" s="3" t="str">
        <f>IF(OR(F132="",A132=""),"",AND(F132&gt;=INDEX([1]Contracts!$B:$B, MATCH(A132, [1]Contracts!$A:$A, 0)), F132&lt;=INDEX([1]Contracts!$C:$C, MATCH(A132, [1]Contracts!$A:$A, 0))))</f>
        <v/>
      </c>
    </row>
    <row r="133" spans="9:10">
      <c r="I133" s="3" t="str">
        <f t="shared" ca="1" si="2"/>
        <v/>
      </c>
      <c r="J133" s="3" t="str">
        <f>IF(OR(F133="",A133=""),"",AND(F133&gt;=INDEX([1]Contracts!$B:$B, MATCH(A133, [1]Contracts!$A:$A, 0)), F133&lt;=INDEX([1]Contracts!$C:$C, MATCH(A133, [1]Contracts!$A:$A, 0))))</f>
        <v/>
      </c>
    </row>
    <row r="134" spans="9:10">
      <c r="I134" s="3" t="str">
        <f t="shared" ca="1" si="2"/>
        <v/>
      </c>
      <c r="J134" s="3" t="str">
        <f>IF(OR(F134="",A134=""),"",AND(F134&gt;=INDEX([1]Contracts!$B:$B, MATCH(A134, [1]Contracts!$A:$A, 0)), F134&lt;=INDEX([1]Contracts!$C:$C, MATCH(A134, [1]Contracts!$A:$A, 0))))</f>
        <v/>
      </c>
    </row>
    <row r="135" spans="9:10">
      <c r="I135" s="3" t="str">
        <f t="shared" ca="1" si="2"/>
        <v/>
      </c>
      <c r="J135" s="3" t="str">
        <f>IF(OR(F135="",A135=""),"",AND(F135&gt;=INDEX([1]Contracts!$B:$B, MATCH(A135, [1]Contracts!$A:$A, 0)), F135&lt;=INDEX([1]Contracts!$C:$C, MATCH(A135, [1]Contracts!$A:$A, 0))))</f>
        <v/>
      </c>
    </row>
    <row r="136" spans="9:10">
      <c r="I136" s="3" t="str">
        <f t="shared" ref="I136:I199" ca="1" si="3">IF(F136="","",F136-TODAY())</f>
        <v/>
      </c>
      <c r="J136" s="3" t="str">
        <f>IF(OR(F136="",A136=""),"",AND(F136&gt;=INDEX([1]Contracts!$B:$B, MATCH(A136, [1]Contracts!$A:$A, 0)), F136&lt;=INDEX([1]Contracts!$C:$C, MATCH(A136, [1]Contracts!$A:$A, 0))))</f>
        <v/>
      </c>
    </row>
    <row r="137" spans="9:10">
      <c r="I137" s="3" t="str">
        <f t="shared" ca="1" si="3"/>
        <v/>
      </c>
      <c r="J137" s="3" t="str">
        <f>IF(OR(F137="",A137=""),"",AND(F137&gt;=INDEX([1]Contracts!$B:$B, MATCH(A137, [1]Contracts!$A:$A, 0)), F137&lt;=INDEX([1]Contracts!$C:$C, MATCH(A137, [1]Contracts!$A:$A, 0))))</f>
        <v/>
      </c>
    </row>
    <row r="138" spans="9:10">
      <c r="I138" s="3" t="str">
        <f t="shared" ca="1" si="3"/>
        <v/>
      </c>
      <c r="J138" s="3" t="str">
        <f>IF(OR(F138="",A138=""),"",AND(F138&gt;=INDEX([1]Contracts!$B:$B, MATCH(A138, [1]Contracts!$A:$A, 0)), F138&lt;=INDEX([1]Contracts!$C:$C, MATCH(A138, [1]Contracts!$A:$A, 0))))</f>
        <v/>
      </c>
    </row>
    <row r="139" spans="9:10">
      <c r="I139" s="3" t="str">
        <f t="shared" ca="1" si="3"/>
        <v/>
      </c>
      <c r="J139" s="3" t="str">
        <f>IF(OR(F139="",A139=""),"",AND(F139&gt;=INDEX([1]Contracts!$B:$B, MATCH(A139, [1]Contracts!$A:$A, 0)), F139&lt;=INDEX([1]Contracts!$C:$C, MATCH(A139, [1]Contracts!$A:$A, 0))))</f>
        <v/>
      </c>
    </row>
    <row r="140" spans="9:10">
      <c r="I140" s="3" t="str">
        <f t="shared" ca="1" si="3"/>
        <v/>
      </c>
      <c r="J140" s="3" t="str">
        <f>IF(OR(F140="",A140=""),"",AND(F140&gt;=INDEX([1]Contracts!$B:$B, MATCH(A140, [1]Contracts!$A:$A, 0)), F140&lt;=INDEX([1]Contracts!$C:$C, MATCH(A140, [1]Contracts!$A:$A, 0))))</f>
        <v/>
      </c>
    </row>
    <row r="141" spans="9:10">
      <c r="I141" s="3" t="str">
        <f t="shared" ca="1" si="3"/>
        <v/>
      </c>
      <c r="J141" s="3" t="str">
        <f>IF(OR(F141="",A141=""),"",AND(F141&gt;=INDEX([1]Contracts!$B:$B, MATCH(A141, [1]Contracts!$A:$A, 0)), F141&lt;=INDEX([1]Contracts!$C:$C, MATCH(A141, [1]Contracts!$A:$A, 0))))</f>
        <v/>
      </c>
    </row>
    <row r="142" spans="9:10">
      <c r="I142" s="3" t="str">
        <f t="shared" ca="1" si="3"/>
        <v/>
      </c>
      <c r="J142" s="3" t="str">
        <f>IF(OR(F142="",A142=""),"",AND(F142&gt;=INDEX([1]Contracts!$B:$B, MATCH(A142, [1]Contracts!$A:$A, 0)), F142&lt;=INDEX([1]Contracts!$C:$C, MATCH(A142, [1]Contracts!$A:$A, 0))))</f>
        <v/>
      </c>
    </row>
    <row r="143" spans="9:10">
      <c r="I143" s="3" t="str">
        <f t="shared" ca="1" si="3"/>
        <v/>
      </c>
      <c r="J143" s="3" t="str">
        <f>IF(OR(F143="",A143=""),"",AND(F143&gt;=INDEX([1]Contracts!$B:$B, MATCH(A143, [1]Contracts!$A:$A, 0)), F143&lt;=INDEX([1]Contracts!$C:$C, MATCH(A143, [1]Contracts!$A:$A, 0))))</f>
        <v/>
      </c>
    </row>
    <row r="144" spans="9:10">
      <c r="I144" s="3" t="str">
        <f t="shared" ca="1" si="3"/>
        <v/>
      </c>
      <c r="J144" s="3" t="str">
        <f>IF(OR(F144="",A144=""),"",AND(F144&gt;=INDEX([1]Contracts!$B:$B, MATCH(A144, [1]Contracts!$A:$A, 0)), F144&lt;=INDEX([1]Contracts!$C:$C, MATCH(A144, [1]Contracts!$A:$A, 0))))</f>
        <v/>
      </c>
    </row>
    <row r="145" spans="9:10">
      <c r="I145" s="3" t="str">
        <f t="shared" ca="1" si="3"/>
        <v/>
      </c>
      <c r="J145" s="3" t="str">
        <f>IF(OR(F145="",A145=""),"",AND(F145&gt;=INDEX([1]Contracts!$B:$B, MATCH(A145, [1]Contracts!$A:$A, 0)), F145&lt;=INDEX([1]Contracts!$C:$C, MATCH(A145, [1]Contracts!$A:$A, 0))))</f>
        <v/>
      </c>
    </row>
    <row r="146" spans="9:10">
      <c r="I146" s="3" t="str">
        <f t="shared" ca="1" si="3"/>
        <v/>
      </c>
      <c r="J146" s="3" t="str">
        <f>IF(OR(F146="",A146=""),"",AND(F146&gt;=INDEX([1]Contracts!$B:$B, MATCH(A146, [1]Contracts!$A:$A, 0)), F146&lt;=INDEX([1]Contracts!$C:$C, MATCH(A146, [1]Contracts!$A:$A, 0))))</f>
        <v/>
      </c>
    </row>
    <row r="147" spans="9:10">
      <c r="I147" s="3" t="str">
        <f t="shared" ca="1" si="3"/>
        <v/>
      </c>
      <c r="J147" s="3" t="str">
        <f>IF(OR(F147="",A147=""),"",AND(F147&gt;=INDEX([1]Contracts!$B:$B, MATCH(A147, [1]Contracts!$A:$A, 0)), F147&lt;=INDEX([1]Contracts!$C:$C, MATCH(A147, [1]Contracts!$A:$A, 0))))</f>
        <v/>
      </c>
    </row>
    <row r="148" spans="9:10">
      <c r="I148" s="3" t="str">
        <f t="shared" ca="1" si="3"/>
        <v/>
      </c>
      <c r="J148" s="3" t="str">
        <f>IF(OR(F148="",A148=""),"",AND(F148&gt;=INDEX([1]Contracts!$B:$B, MATCH(A148, [1]Contracts!$A:$A, 0)), F148&lt;=INDEX([1]Contracts!$C:$C, MATCH(A148, [1]Contracts!$A:$A, 0))))</f>
        <v/>
      </c>
    </row>
    <row r="149" spans="9:10">
      <c r="I149" s="3" t="str">
        <f t="shared" ca="1" si="3"/>
        <v/>
      </c>
      <c r="J149" s="3" t="str">
        <f>IF(OR(F149="",A149=""),"",AND(F149&gt;=INDEX([1]Contracts!$B:$B, MATCH(A149, [1]Contracts!$A:$A, 0)), F149&lt;=INDEX([1]Contracts!$C:$C, MATCH(A149, [1]Contracts!$A:$A, 0))))</f>
        <v/>
      </c>
    </row>
    <row r="150" spans="9:10">
      <c r="I150" s="3" t="str">
        <f t="shared" ca="1" si="3"/>
        <v/>
      </c>
      <c r="J150" s="3" t="str">
        <f>IF(OR(F150="",A150=""),"",AND(F150&gt;=INDEX([1]Contracts!$B:$B, MATCH(A150, [1]Contracts!$A:$A, 0)), F150&lt;=INDEX([1]Contracts!$C:$C, MATCH(A150, [1]Contracts!$A:$A, 0))))</f>
        <v/>
      </c>
    </row>
    <row r="151" spans="9:10">
      <c r="I151" s="3" t="str">
        <f t="shared" ca="1" si="3"/>
        <v/>
      </c>
      <c r="J151" s="3" t="str">
        <f>IF(OR(F151="",A151=""),"",AND(F151&gt;=INDEX([1]Contracts!$B:$B, MATCH(A151, [1]Contracts!$A:$A, 0)), F151&lt;=INDEX([1]Contracts!$C:$C, MATCH(A151, [1]Contracts!$A:$A, 0))))</f>
        <v/>
      </c>
    </row>
    <row r="152" spans="9:10">
      <c r="I152" s="3" t="str">
        <f t="shared" ca="1" si="3"/>
        <v/>
      </c>
      <c r="J152" s="3" t="str">
        <f>IF(OR(F152="",A152=""),"",AND(F152&gt;=INDEX([1]Contracts!$B:$B, MATCH(A152, [1]Contracts!$A:$A, 0)), F152&lt;=INDEX([1]Contracts!$C:$C, MATCH(A152, [1]Contracts!$A:$A, 0))))</f>
        <v/>
      </c>
    </row>
    <row r="153" spans="9:10">
      <c r="I153" s="3" t="str">
        <f t="shared" ca="1" si="3"/>
        <v/>
      </c>
      <c r="J153" s="3" t="str">
        <f>IF(OR(F153="",A153=""),"",AND(F153&gt;=INDEX([1]Contracts!$B:$B, MATCH(A153, [1]Contracts!$A:$A, 0)), F153&lt;=INDEX([1]Contracts!$C:$C, MATCH(A153, [1]Contracts!$A:$A, 0))))</f>
        <v/>
      </c>
    </row>
    <row r="154" spans="9:10">
      <c r="I154" s="3" t="str">
        <f t="shared" ca="1" si="3"/>
        <v/>
      </c>
      <c r="J154" s="3" t="str">
        <f>IF(OR(F154="",A154=""),"",AND(F154&gt;=INDEX([1]Contracts!$B:$B, MATCH(A154, [1]Contracts!$A:$A, 0)), F154&lt;=INDEX([1]Contracts!$C:$C, MATCH(A154, [1]Contracts!$A:$A, 0))))</f>
        <v/>
      </c>
    </row>
    <row r="155" spans="9:10">
      <c r="I155" s="3" t="str">
        <f t="shared" ca="1" si="3"/>
        <v/>
      </c>
      <c r="J155" s="3" t="str">
        <f>IF(OR(F155="",A155=""),"",AND(F155&gt;=INDEX([1]Contracts!$B:$B, MATCH(A155, [1]Contracts!$A:$A, 0)), F155&lt;=INDEX([1]Contracts!$C:$C, MATCH(A155, [1]Contracts!$A:$A, 0))))</f>
        <v/>
      </c>
    </row>
    <row r="156" spans="9:10">
      <c r="I156" s="3" t="str">
        <f t="shared" ca="1" si="3"/>
        <v/>
      </c>
      <c r="J156" s="3" t="str">
        <f>IF(OR(F156="",A156=""),"",AND(F156&gt;=INDEX([1]Contracts!$B:$B, MATCH(A156, [1]Contracts!$A:$A, 0)), F156&lt;=INDEX([1]Contracts!$C:$C, MATCH(A156, [1]Contracts!$A:$A, 0))))</f>
        <v/>
      </c>
    </row>
    <row r="157" spans="9:10">
      <c r="I157" s="3" t="str">
        <f t="shared" ca="1" si="3"/>
        <v/>
      </c>
      <c r="J157" s="3" t="str">
        <f>IF(OR(F157="",A157=""),"",AND(F157&gt;=INDEX([1]Contracts!$B:$B, MATCH(A157, [1]Contracts!$A:$A, 0)), F157&lt;=INDEX([1]Contracts!$C:$C, MATCH(A157, [1]Contracts!$A:$A, 0))))</f>
        <v/>
      </c>
    </row>
    <row r="158" spans="9:10">
      <c r="I158" s="3" t="str">
        <f t="shared" ca="1" si="3"/>
        <v/>
      </c>
      <c r="J158" s="3" t="str">
        <f>IF(OR(F158="",A158=""),"",AND(F158&gt;=INDEX([1]Contracts!$B:$B, MATCH(A158, [1]Contracts!$A:$A, 0)), F158&lt;=INDEX([1]Contracts!$C:$C, MATCH(A158, [1]Contracts!$A:$A, 0))))</f>
        <v/>
      </c>
    </row>
    <row r="159" spans="9:10">
      <c r="I159" s="3" t="str">
        <f t="shared" ca="1" si="3"/>
        <v/>
      </c>
      <c r="J159" s="3" t="str">
        <f>IF(OR(F159="",A159=""),"",AND(F159&gt;=INDEX([1]Contracts!$B:$B, MATCH(A159, [1]Contracts!$A:$A, 0)), F159&lt;=INDEX([1]Contracts!$C:$C, MATCH(A159, [1]Contracts!$A:$A, 0))))</f>
        <v/>
      </c>
    </row>
    <row r="160" spans="9:10">
      <c r="I160" s="3" t="str">
        <f t="shared" ca="1" si="3"/>
        <v/>
      </c>
      <c r="J160" s="3" t="str">
        <f>IF(OR(F160="",A160=""),"",AND(F160&gt;=INDEX([1]Contracts!$B:$B, MATCH(A160, [1]Contracts!$A:$A, 0)), F160&lt;=INDEX([1]Contracts!$C:$C, MATCH(A160, [1]Contracts!$A:$A, 0))))</f>
        <v/>
      </c>
    </row>
    <row r="161" spans="9:10">
      <c r="I161" s="3" t="str">
        <f t="shared" ca="1" si="3"/>
        <v/>
      </c>
      <c r="J161" s="3" t="str">
        <f>IF(OR(F161="",A161=""),"",AND(F161&gt;=INDEX([1]Contracts!$B:$B, MATCH(A161, [1]Contracts!$A:$A, 0)), F161&lt;=INDEX([1]Contracts!$C:$C, MATCH(A161, [1]Contracts!$A:$A, 0))))</f>
        <v/>
      </c>
    </row>
    <row r="162" spans="9:10">
      <c r="I162" s="3" t="str">
        <f t="shared" ca="1" si="3"/>
        <v/>
      </c>
      <c r="J162" s="3" t="str">
        <f>IF(OR(F162="",A162=""),"",AND(F162&gt;=INDEX([1]Contracts!$B:$B, MATCH(A162, [1]Contracts!$A:$A, 0)), F162&lt;=INDEX([1]Contracts!$C:$C, MATCH(A162, [1]Contracts!$A:$A, 0))))</f>
        <v/>
      </c>
    </row>
    <row r="163" spans="9:10">
      <c r="I163" s="3" t="str">
        <f t="shared" ca="1" si="3"/>
        <v/>
      </c>
      <c r="J163" s="3" t="str">
        <f>IF(OR(F163="",A163=""),"",AND(F163&gt;=INDEX([1]Contracts!$B:$B, MATCH(A163, [1]Contracts!$A:$A, 0)), F163&lt;=INDEX([1]Contracts!$C:$C, MATCH(A163, [1]Contracts!$A:$A, 0))))</f>
        <v/>
      </c>
    </row>
    <row r="164" spans="9:10">
      <c r="I164" s="3" t="str">
        <f t="shared" ca="1" si="3"/>
        <v/>
      </c>
      <c r="J164" s="3" t="str">
        <f>IF(OR(F164="",A164=""),"",AND(F164&gt;=INDEX([1]Contracts!$B:$B, MATCH(A164, [1]Contracts!$A:$A, 0)), F164&lt;=INDEX([1]Contracts!$C:$C, MATCH(A164, [1]Contracts!$A:$A, 0))))</f>
        <v/>
      </c>
    </row>
    <row r="165" spans="9:10">
      <c r="I165" s="3" t="str">
        <f t="shared" ca="1" si="3"/>
        <v/>
      </c>
      <c r="J165" s="3" t="str">
        <f>IF(OR(F165="",A165=""),"",AND(F165&gt;=INDEX([1]Contracts!$B:$B, MATCH(A165, [1]Contracts!$A:$A, 0)), F165&lt;=INDEX([1]Contracts!$C:$C, MATCH(A165, [1]Contracts!$A:$A, 0))))</f>
        <v/>
      </c>
    </row>
    <row r="166" spans="9:10">
      <c r="I166" s="3" t="str">
        <f t="shared" ca="1" si="3"/>
        <v/>
      </c>
      <c r="J166" s="3" t="str">
        <f>IF(OR(F166="",A166=""),"",AND(F166&gt;=INDEX([1]Contracts!$B:$B, MATCH(A166, [1]Contracts!$A:$A, 0)), F166&lt;=INDEX([1]Contracts!$C:$C, MATCH(A166, [1]Contracts!$A:$A, 0))))</f>
        <v/>
      </c>
    </row>
    <row r="167" spans="9:10">
      <c r="I167" s="3" t="str">
        <f t="shared" ca="1" si="3"/>
        <v/>
      </c>
      <c r="J167" s="3" t="str">
        <f>IF(OR(F167="",A167=""),"",AND(F167&gt;=INDEX([1]Contracts!$B:$B, MATCH(A167, [1]Contracts!$A:$A, 0)), F167&lt;=INDEX([1]Contracts!$C:$C, MATCH(A167, [1]Contracts!$A:$A, 0))))</f>
        <v/>
      </c>
    </row>
    <row r="168" spans="9:10">
      <c r="I168" s="3" t="str">
        <f t="shared" ca="1" si="3"/>
        <v/>
      </c>
      <c r="J168" s="3" t="str">
        <f>IF(OR(F168="",A168=""),"",AND(F168&gt;=INDEX([1]Contracts!$B:$B, MATCH(A168, [1]Contracts!$A:$A, 0)), F168&lt;=INDEX([1]Contracts!$C:$C, MATCH(A168, [1]Contracts!$A:$A, 0))))</f>
        <v/>
      </c>
    </row>
    <row r="169" spans="9:10">
      <c r="I169" s="3" t="str">
        <f t="shared" ca="1" si="3"/>
        <v/>
      </c>
      <c r="J169" s="3" t="str">
        <f>IF(OR(F169="",A169=""),"",AND(F169&gt;=INDEX([1]Contracts!$B:$B, MATCH(A169, [1]Contracts!$A:$A, 0)), F169&lt;=INDEX([1]Contracts!$C:$C, MATCH(A169, [1]Contracts!$A:$A, 0))))</f>
        <v/>
      </c>
    </row>
    <row r="170" spans="9:10">
      <c r="I170" s="3" t="str">
        <f t="shared" ca="1" si="3"/>
        <v/>
      </c>
      <c r="J170" s="3" t="str">
        <f>IF(OR(F170="",A170=""),"",AND(F170&gt;=INDEX([1]Contracts!$B:$B, MATCH(A170, [1]Contracts!$A:$A, 0)), F170&lt;=INDEX([1]Contracts!$C:$C, MATCH(A170, [1]Contracts!$A:$A, 0))))</f>
        <v/>
      </c>
    </row>
    <row r="171" spans="9:10">
      <c r="I171" s="3" t="str">
        <f t="shared" ca="1" si="3"/>
        <v/>
      </c>
      <c r="J171" s="3" t="str">
        <f>IF(OR(F171="",A171=""),"",AND(F171&gt;=INDEX([1]Contracts!$B:$B, MATCH(A171, [1]Contracts!$A:$A, 0)), F171&lt;=INDEX([1]Contracts!$C:$C, MATCH(A171, [1]Contracts!$A:$A, 0))))</f>
        <v/>
      </c>
    </row>
    <row r="172" spans="9:10">
      <c r="I172" s="3" t="str">
        <f t="shared" ca="1" si="3"/>
        <v/>
      </c>
      <c r="J172" s="3" t="str">
        <f>IF(OR(F172="",A172=""),"",AND(F172&gt;=INDEX([1]Contracts!$B:$B, MATCH(A172, [1]Contracts!$A:$A, 0)), F172&lt;=INDEX([1]Contracts!$C:$C, MATCH(A172, [1]Contracts!$A:$A, 0))))</f>
        <v/>
      </c>
    </row>
    <row r="173" spans="9:10">
      <c r="I173" s="3" t="str">
        <f t="shared" ca="1" si="3"/>
        <v/>
      </c>
      <c r="J173" s="3" t="str">
        <f>IF(OR(F173="",A173=""),"",AND(F173&gt;=INDEX([1]Contracts!$B:$B, MATCH(A173, [1]Contracts!$A:$A, 0)), F173&lt;=INDEX([1]Contracts!$C:$C, MATCH(A173, [1]Contracts!$A:$A, 0))))</f>
        <v/>
      </c>
    </row>
    <row r="174" spans="9:10">
      <c r="I174" s="3" t="str">
        <f t="shared" ca="1" si="3"/>
        <v/>
      </c>
      <c r="J174" s="3" t="str">
        <f>IF(OR(F174="",A174=""),"",AND(F174&gt;=INDEX([1]Contracts!$B:$B, MATCH(A174, [1]Contracts!$A:$A, 0)), F174&lt;=INDEX([1]Contracts!$C:$C, MATCH(A174, [1]Contracts!$A:$A, 0))))</f>
        <v/>
      </c>
    </row>
    <row r="175" spans="9:10">
      <c r="I175" s="3" t="str">
        <f t="shared" ca="1" si="3"/>
        <v/>
      </c>
      <c r="J175" s="3" t="str">
        <f>IF(OR(F175="",A175=""),"",AND(F175&gt;=INDEX([1]Contracts!$B:$B, MATCH(A175, [1]Contracts!$A:$A, 0)), F175&lt;=INDEX([1]Contracts!$C:$C, MATCH(A175, [1]Contracts!$A:$A, 0))))</f>
        <v/>
      </c>
    </row>
    <row r="176" spans="9:10">
      <c r="I176" s="3" t="str">
        <f t="shared" ca="1" si="3"/>
        <v/>
      </c>
      <c r="J176" s="3" t="str">
        <f>IF(OR(F176="",A176=""),"",AND(F176&gt;=INDEX([1]Contracts!$B:$B, MATCH(A176, [1]Contracts!$A:$A, 0)), F176&lt;=INDEX([1]Contracts!$C:$C, MATCH(A176, [1]Contracts!$A:$A, 0))))</f>
        <v/>
      </c>
    </row>
    <row r="177" spans="9:10">
      <c r="I177" s="3" t="str">
        <f t="shared" ca="1" si="3"/>
        <v/>
      </c>
      <c r="J177" s="3" t="str">
        <f>IF(OR(F177="",A177=""),"",AND(F177&gt;=INDEX([1]Contracts!$B:$B, MATCH(A177, [1]Contracts!$A:$A, 0)), F177&lt;=INDEX([1]Contracts!$C:$C, MATCH(A177, [1]Contracts!$A:$A, 0))))</f>
        <v/>
      </c>
    </row>
    <row r="178" spans="9:10">
      <c r="I178" s="3" t="str">
        <f t="shared" ca="1" si="3"/>
        <v/>
      </c>
      <c r="J178" s="3" t="str">
        <f>IF(OR(F178="",A178=""),"",AND(F178&gt;=INDEX([1]Contracts!$B:$B, MATCH(A178, [1]Contracts!$A:$A, 0)), F178&lt;=INDEX([1]Contracts!$C:$C, MATCH(A178, [1]Contracts!$A:$A, 0))))</f>
        <v/>
      </c>
    </row>
    <row r="179" spans="9:10">
      <c r="I179" s="3" t="str">
        <f t="shared" ca="1" si="3"/>
        <v/>
      </c>
      <c r="J179" s="3" t="str">
        <f>IF(OR(F179="",A179=""),"",AND(F179&gt;=INDEX([1]Contracts!$B:$B, MATCH(A179, [1]Contracts!$A:$A, 0)), F179&lt;=INDEX([1]Contracts!$C:$C, MATCH(A179, [1]Contracts!$A:$A, 0))))</f>
        <v/>
      </c>
    </row>
    <row r="180" spans="9:10">
      <c r="I180" s="3" t="str">
        <f t="shared" ca="1" si="3"/>
        <v/>
      </c>
      <c r="J180" s="3" t="str">
        <f>IF(OR(F180="",A180=""),"",AND(F180&gt;=INDEX([1]Contracts!$B:$B, MATCH(A180, [1]Contracts!$A:$A, 0)), F180&lt;=INDEX([1]Contracts!$C:$C, MATCH(A180, [1]Contracts!$A:$A, 0))))</f>
        <v/>
      </c>
    </row>
    <row r="181" spans="9:10">
      <c r="I181" s="3" t="str">
        <f t="shared" ca="1" si="3"/>
        <v/>
      </c>
      <c r="J181" s="3" t="str">
        <f>IF(OR(F181="",A181=""),"",AND(F181&gt;=INDEX([1]Contracts!$B:$B, MATCH(A181, [1]Contracts!$A:$A, 0)), F181&lt;=INDEX([1]Contracts!$C:$C, MATCH(A181, [1]Contracts!$A:$A, 0))))</f>
        <v/>
      </c>
    </row>
    <row r="182" spans="9:10">
      <c r="I182" s="3" t="str">
        <f t="shared" ca="1" si="3"/>
        <v/>
      </c>
      <c r="J182" s="3" t="str">
        <f>IF(OR(F182="",A182=""),"",AND(F182&gt;=INDEX([1]Contracts!$B:$B, MATCH(A182, [1]Contracts!$A:$A, 0)), F182&lt;=INDEX([1]Contracts!$C:$C, MATCH(A182, [1]Contracts!$A:$A, 0))))</f>
        <v/>
      </c>
    </row>
    <row r="183" spans="9:10">
      <c r="I183" s="3" t="str">
        <f t="shared" ca="1" si="3"/>
        <v/>
      </c>
      <c r="J183" s="3" t="str">
        <f>IF(OR(F183="",A183=""),"",AND(F183&gt;=INDEX([1]Contracts!$B:$B, MATCH(A183, [1]Contracts!$A:$A, 0)), F183&lt;=INDEX([1]Contracts!$C:$C, MATCH(A183, [1]Contracts!$A:$A, 0))))</f>
        <v/>
      </c>
    </row>
    <row r="184" spans="9:10">
      <c r="I184" s="3" t="str">
        <f t="shared" ca="1" si="3"/>
        <v/>
      </c>
      <c r="J184" s="3" t="str">
        <f>IF(OR(F184="",A184=""),"",AND(F184&gt;=INDEX([1]Contracts!$B:$B, MATCH(A184, [1]Contracts!$A:$A, 0)), F184&lt;=INDEX([1]Contracts!$C:$C, MATCH(A184, [1]Contracts!$A:$A, 0))))</f>
        <v/>
      </c>
    </row>
    <row r="185" spans="9:10">
      <c r="I185" s="3" t="str">
        <f t="shared" ca="1" si="3"/>
        <v/>
      </c>
      <c r="J185" s="3" t="str">
        <f>IF(OR(F185="",A185=""),"",AND(F185&gt;=INDEX([1]Contracts!$B:$B, MATCH(A185, [1]Contracts!$A:$A, 0)), F185&lt;=INDEX([1]Contracts!$C:$C, MATCH(A185, [1]Contracts!$A:$A, 0))))</f>
        <v/>
      </c>
    </row>
    <row r="186" spans="9:10">
      <c r="I186" s="3" t="str">
        <f t="shared" ca="1" si="3"/>
        <v/>
      </c>
      <c r="J186" s="3" t="str">
        <f>IF(OR(F186="",A186=""),"",AND(F186&gt;=INDEX([1]Contracts!$B:$B, MATCH(A186, [1]Contracts!$A:$A, 0)), F186&lt;=INDEX([1]Contracts!$C:$C, MATCH(A186, [1]Contracts!$A:$A, 0))))</f>
        <v/>
      </c>
    </row>
    <row r="187" spans="9:10">
      <c r="I187" s="3" t="str">
        <f t="shared" ca="1" si="3"/>
        <v/>
      </c>
      <c r="J187" s="3" t="str">
        <f>IF(OR(F187="",A187=""),"",AND(F187&gt;=INDEX([1]Contracts!$B:$B, MATCH(A187, [1]Contracts!$A:$A, 0)), F187&lt;=INDEX([1]Contracts!$C:$C, MATCH(A187, [1]Contracts!$A:$A, 0))))</f>
        <v/>
      </c>
    </row>
    <row r="188" spans="9:10">
      <c r="I188" s="3" t="str">
        <f t="shared" ca="1" si="3"/>
        <v/>
      </c>
      <c r="J188" s="3" t="str">
        <f>IF(OR(F188="",A188=""),"",AND(F188&gt;=INDEX([1]Contracts!$B:$B, MATCH(A188, [1]Contracts!$A:$A, 0)), F188&lt;=INDEX([1]Contracts!$C:$C, MATCH(A188, [1]Contracts!$A:$A, 0))))</f>
        <v/>
      </c>
    </row>
    <row r="189" spans="9:10">
      <c r="I189" s="3" t="str">
        <f t="shared" ca="1" si="3"/>
        <v/>
      </c>
      <c r="J189" s="3" t="str">
        <f>IF(OR(F189="",A189=""),"",AND(F189&gt;=INDEX([1]Contracts!$B:$B, MATCH(A189, [1]Contracts!$A:$A, 0)), F189&lt;=INDEX([1]Contracts!$C:$C, MATCH(A189, [1]Contracts!$A:$A, 0))))</f>
        <v/>
      </c>
    </row>
    <row r="190" spans="9:10">
      <c r="I190" s="3" t="str">
        <f t="shared" ca="1" si="3"/>
        <v/>
      </c>
      <c r="J190" s="3" t="str">
        <f>IF(OR(F190="",A190=""),"",AND(F190&gt;=INDEX([1]Contracts!$B:$B, MATCH(A190, [1]Contracts!$A:$A, 0)), F190&lt;=INDEX([1]Contracts!$C:$C, MATCH(A190, [1]Contracts!$A:$A, 0))))</f>
        <v/>
      </c>
    </row>
    <row r="191" spans="9:10">
      <c r="I191" s="3" t="str">
        <f t="shared" ca="1" si="3"/>
        <v/>
      </c>
      <c r="J191" s="3" t="str">
        <f>IF(OR(F191="",A191=""),"",AND(F191&gt;=INDEX([1]Contracts!$B:$B, MATCH(A191, [1]Contracts!$A:$A, 0)), F191&lt;=INDEX([1]Contracts!$C:$C, MATCH(A191, [1]Contracts!$A:$A, 0))))</f>
        <v/>
      </c>
    </row>
    <row r="192" spans="9:10">
      <c r="I192" s="3" t="str">
        <f t="shared" ca="1" si="3"/>
        <v/>
      </c>
      <c r="J192" s="3" t="str">
        <f>IF(OR(F192="",A192=""),"",AND(F192&gt;=INDEX([1]Contracts!$B:$B, MATCH(A192, [1]Contracts!$A:$A, 0)), F192&lt;=INDEX([1]Contracts!$C:$C, MATCH(A192, [1]Contracts!$A:$A, 0))))</f>
        <v/>
      </c>
    </row>
    <row r="193" spans="9:10">
      <c r="I193" s="3" t="str">
        <f t="shared" ca="1" si="3"/>
        <v/>
      </c>
      <c r="J193" s="3" t="str">
        <f>IF(OR(F193="",A193=""),"",AND(F193&gt;=INDEX([1]Contracts!$B:$B, MATCH(A193, [1]Contracts!$A:$A, 0)), F193&lt;=INDEX([1]Contracts!$C:$C, MATCH(A193, [1]Contracts!$A:$A, 0))))</f>
        <v/>
      </c>
    </row>
    <row r="194" spans="9:10">
      <c r="I194" s="3" t="str">
        <f t="shared" ca="1" si="3"/>
        <v/>
      </c>
      <c r="J194" s="3" t="str">
        <f>IF(OR(F194="",A194=""),"",AND(F194&gt;=INDEX([1]Contracts!$B:$B, MATCH(A194, [1]Contracts!$A:$A, 0)), F194&lt;=INDEX([1]Contracts!$C:$C, MATCH(A194, [1]Contracts!$A:$A, 0))))</f>
        <v/>
      </c>
    </row>
    <row r="195" spans="9:10">
      <c r="I195" s="3" t="str">
        <f t="shared" ca="1" si="3"/>
        <v/>
      </c>
      <c r="J195" s="3" t="str">
        <f>IF(OR(F195="",A195=""),"",AND(F195&gt;=INDEX([1]Contracts!$B:$B, MATCH(A195, [1]Contracts!$A:$A, 0)), F195&lt;=INDEX([1]Contracts!$C:$C, MATCH(A195, [1]Contracts!$A:$A, 0))))</f>
        <v/>
      </c>
    </row>
    <row r="196" spans="9:10">
      <c r="I196" s="3" t="str">
        <f t="shared" ca="1" si="3"/>
        <v/>
      </c>
      <c r="J196" s="3" t="str">
        <f>IF(OR(F196="",A196=""),"",AND(F196&gt;=INDEX([1]Contracts!$B:$B, MATCH(A196, [1]Contracts!$A:$A, 0)), F196&lt;=INDEX([1]Contracts!$C:$C, MATCH(A196, [1]Contracts!$A:$A, 0))))</f>
        <v/>
      </c>
    </row>
    <row r="197" spans="9:10">
      <c r="I197" s="3" t="str">
        <f t="shared" ca="1" si="3"/>
        <v/>
      </c>
      <c r="J197" s="3" t="str">
        <f>IF(OR(F197="",A197=""),"",AND(F197&gt;=INDEX([1]Contracts!$B:$B, MATCH(A197, [1]Contracts!$A:$A, 0)), F197&lt;=INDEX([1]Contracts!$C:$C, MATCH(A197, [1]Contracts!$A:$A, 0))))</f>
        <v/>
      </c>
    </row>
    <row r="198" spans="9:10">
      <c r="I198" s="3" t="str">
        <f t="shared" ca="1" si="3"/>
        <v/>
      </c>
      <c r="J198" s="3" t="str">
        <f>IF(OR(F198="",A198=""),"",AND(F198&gt;=INDEX([1]Contracts!$B:$B, MATCH(A198, [1]Contracts!$A:$A, 0)), F198&lt;=INDEX([1]Contracts!$C:$C, MATCH(A198, [1]Contracts!$A:$A, 0))))</f>
        <v/>
      </c>
    </row>
    <row r="199" spans="9:10">
      <c r="I199" s="3" t="str">
        <f t="shared" ca="1" si="3"/>
        <v/>
      </c>
      <c r="J199" s="3" t="str">
        <f>IF(OR(F199="",A199=""),"",AND(F199&gt;=INDEX([1]Contracts!$B:$B, MATCH(A199, [1]Contracts!$A:$A, 0)), F199&lt;=INDEX([1]Contracts!$C:$C, MATCH(A199, [1]Contracts!$A:$A, 0))))</f>
        <v/>
      </c>
    </row>
    <row r="200" spans="9:10">
      <c r="I200" s="3" t="str">
        <f t="shared" ref="I200:I263" ca="1" si="4">IF(F200="","",F200-TODAY())</f>
        <v/>
      </c>
      <c r="J200" s="3" t="str">
        <f>IF(OR(F200="",A200=""),"",AND(F200&gt;=INDEX([1]Contracts!$B:$B, MATCH(A200, [1]Contracts!$A:$A, 0)), F200&lt;=INDEX([1]Contracts!$C:$C, MATCH(A200, [1]Contracts!$A:$A, 0))))</f>
        <v/>
      </c>
    </row>
    <row r="201" spans="9:10">
      <c r="I201" s="3" t="str">
        <f t="shared" ca="1" si="4"/>
        <v/>
      </c>
      <c r="J201" s="3" t="str">
        <f>IF(OR(F201="",A201=""),"",AND(F201&gt;=INDEX([1]Contracts!$B:$B, MATCH(A201, [1]Contracts!$A:$A, 0)), F201&lt;=INDEX([1]Contracts!$C:$C, MATCH(A201, [1]Contracts!$A:$A, 0))))</f>
        <v/>
      </c>
    </row>
    <row r="202" spans="9:10">
      <c r="I202" s="3" t="str">
        <f t="shared" ca="1" si="4"/>
        <v/>
      </c>
      <c r="J202" s="3" t="str">
        <f>IF(OR(F202="",A202=""),"",AND(F202&gt;=INDEX([1]Contracts!$B:$B, MATCH(A202, [1]Contracts!$A:$A, 0)), F202&lt;=INDEX([1]Contracts!$C:$C, MATCH(A202, [1]Contracts!$A:$A, 0))))</f>
        <v/>
      </c>
    </row>
    <row r="203" spans="9:10">
      <c r="I203" s="3" t="str">
        <f t="shared" ca="1" si="4"/>
        <v/>
      </c>
      <c r="J203" s="3" t="str">
        <f>IF(OR(F203="",A203=""),"",AND(F203&gt;=INDEX([1]Contracts!$B:$B, MATCH(A203, [1]Contracts!$A:$A, 0)), F203&lt;=INDEX([1]Contracts!$C:$C, MATCH(A203, [1]Contracts!$A:$A, 0))))</f>
        <v/>
      </c>
    </row>
    <row r="204" spans="9:10">
      <c r="I204" s="3" t="str">
        <f t="shared" ca="1" si="4"/>
        <v/>
      </c>
      <c r="J204" s="3" t="str">
        <f>IF(OR(F204="",A204=""),"",AND(F204&gt;=INDEX([1]Contracts!$B:$B, MATCH(A204, [1]Contracts!$A:$A, 0)), F204&lt;=INDEX([1]Contracts!$C:$C, MATCH(A204, [1]Contracts!$A:$A, 0))))</f>
        <v/>
      </c>
    </row>
    <row r="205" spans="9:10">
      <c r="I205" s="3" t="str">
        <f t="shared" ca="1" si="4"/>
        <v/>
      </c>
      <c r="J205" s="3" t="str">
        <f>IF(OR(F205="",A205=""),"",AND(F205&gt;=INDEX([1]Contracts!$B:$B, MATCH(A205, [1]Contracts!$A:$A, 0)), F205&lt;=INDEX([1]Contracts!$C:$C, MATCH(A205, [1]Contracts!$A:$A, 0))))</f>
        <v/>
      </c>
    </row>
    <row r="206" spans="9:10">
      <c r="I206" s="3" t="str">
        <f t="shared" ca="1" si="4"/>
        <v/>
      </c>
      <c r="J206" s="3" t="str">
        <f>IF(OR(F206="",A206=""),"",AND(F206&gt;=INDEX([1]Contracts!$B:$B, MATCH(A206, [1]Contracts!$A:$A, 0)), F206&lt;=INDEX([1]Contracts!$C:$C, MATCH(A206, [1]Contracts!$A:$A, 0))))</f>
        <v/>
      </c>
    </row>
    <row r="207" spans="9:10">
      <c r="I207" s="3" t="str">
        <f t="shared" ca="1" si="4"/>
        <v/>
      </c>
      <c r="J207" s="3" t="str">
        <f>IF(OR(F207="",A207=""),"",AND(F207&gt;=INDEX([1]Contracts!$B:$B, MATCH(A207, [1]Contracts!$A:$A, 0)), F207&lt;=INDEX([1]Contracts!$C:$C, MATCH(A207, [1]Contracts!$A:$A, 0))))</f>
        <v/>
      </c>
    </row>
    <row r="208" spans="9:10">
      <c r="I208" s="3" t="str">
        <f t="shared" ca="1" si="4"/>
        <v/>
      </c>
      <c r="J208" s="3" t="str">
        <f>IF(OR(F208="",A208=""),"",AND(F208&gt;=INDEX([1]Contracts!$B:$B, MATCH(A208, [1]Contracts!$A:$A, 0)), F208&lt;=INDEX([1]Contracts!$C:$C, MATCH(A208, [1]Contracts!$A:$A, 0))))</f>
        <v/>
      </c>
    </row>
    <row r="209" spans="9:10">
      <c r="I209" s="3" t="str">
        <f t="shared" ca="1" si="4"/>
        <v/>
      </c>
      <c r="J209" s="3" t="str">
        <f>IF(OR(F209="",A209=""),"",AND(F209&gt;=INDEX([1]Contracts!$B:$B, MATCH(A209, [1]Contracts!$A:$A, 0)), F209&lt;=INDEX([1]Contracts!$C:$C, MATCH(A209, [1]Contracts!$A:$A, 0))))</f>
        <v/>
      </c>
    </row>
    <row r="210" spans="9:10">
      <c r="I210" s="3" t="str">
        <f t="shared" ca="1" si="4"/>
        <v/>
      </c>
      <c r="J210" s="3" t="str">
        <f>IF(OR(F210="",A210=""),"",AND(F210&gt;=INDEX([1]Contracts!$B:$B, MATCH(A210, [1]Contracts!$A:$A, 0)), F210&lt;=INDEX([1]Contracts!$C:$C, MATCH(A210, [1]Contracts!$A:$A, 0))))</f>
        <v/>
      </c>
    </row>
    <row r="211" spans="9:10">
      <c r="I211" s="3" t="str">
        <f t="shared" ca="1" si="4"/>
        <v/>
      </c>
      <c r="J211" s="3" t="str">
        <f>IF(OR(F211="",A211=""),"",AND(F211&gt;=INDEX([1]Contracts!$B:$B, MATCH(A211, [1]Contracts!$A:$A, 0)), F211&lt;=INDEX([1]Contracts!$C:$C, MATCH(A211, [1]Contracts!$A:$A, 0))))</f>
        <v/>
      </c>
    </row>
    <row r="212" spans="9:10">
      <c r="I212" s="3" t="str">
        <f t="shared" ca="1" si="4"/>
        <v/>
      </c>
      <c r="J212" s="3" t="str">
        <f>IF(OR(F212="",A212=""),"",AND(F212&gt;=INDEX([1]Contracts!$B:$B, MATCH(A212, [1]Contracts!$A:$A, 0)), F212&lt;=INDEX([1]Contracts!$C:$C, MATCH(A212, [1]Contracts!$A:$A, 0))))</f>
        <v/>
      </c>
    </row>
    <row r="213" spans="9:10">
      <c r="I213" s="3" t="str">
        <f t="shared" ca="1" si="4"/>
        <v/>
      </c>
      <c r="J213" s="3" t="str">
        <f>IF(OR(F213="",A213=""),"",AND(F213&gt;=INDEX([1]Contracts!$B:$B, MATCH(A213, [1]Contracts!$A:$A, 0)), F213&lt;=INDEX([1]Contracts!$C:$C, MATCH(A213, [1]Contracts!$A:$A, 0))))</f>
        <v/>
      </c>
    </row>
    <row r="214" spans="9:10">
      <c r="I214" s="3" t="str">
        <f t="shared" ca="1" si="4"/>
        <v/>
      </c>
      <c r="J214" s="3" t="str">
        <f>IF(OR(F214="",A214=""),"",AND(F214&gt;=INDEX([1]Contracts!$B:$B, MATCH(A214, [1]Contracts!$A:$A, 0)), F214&lt;=INDEX([1]Contracts!$C:$C, MATCH(A214, [1]Contracts!$A:$A, 0))))</f>
        <v/>
      </c>
    </row>
    <row r="215" spans="9:10">
      <c r="I215" s="3" t="str">
        <f t="shared" ca="1" si="4"/>
        <v/>
      </c>
      <c r="J215" s="3" t="str">
        <f>IF(OR(F215="",A215=""),"",AND(F215&gt;=INDEX([1]Contracts!$B:$B, MATCH(A215, [1]Contracts!$A:$A, 0)), F215&lt;=INDEX([1]Contracts!$C:$C, MATCH(A215, [1]Contracts!$A:$A, 0))))</f>
        <v/>
      </c>
    </row>
    <row r="216" spans="9:10">
      <c r="I216" s="3" t="str">
        <f t="shared" ca="1" si="4"/>
        <v/>
      </c>
      <c r="J216" s="3" t="str">
        <f>IF(OR(F216="",A216=""),"",AND(F216&gt;=INDEX([1]Contracts!$B:$B, MATCH(A216, [1]Contracts!$A:$A, 0)), F216&lt;=INDEX([1]Contracts!$C:$C, MATCH(A216, [1]Contracts!$A:$A, 0))))</f>
        <v/>
      </c>
    </row>
    <row r="217" spans="9:10">
      <c r="I217" s="3" t="str">
        <f t="shared" ca="1" si="4"/>
        <v/>
      </c>
      <c r="J217" s="3" t="str">
        <f>IF(OR(F217="",A217=""),"",AND(F217&gt;=INDEX([1]Contracts!$B:$B, MATCH(A217, [1]Contracts!$A:$A, 0)), F217&lt;=INDEX([1]Contracts!$C:$C, MATCH(A217, [1]Contracts!$A:$A, 0))))</f>
        <v/>
      </c>
    </row>
    <row r="218" spans="9:10">
      <c r="I218" s="3" t="str">
        <f t="shared" ca="1" si="4"/>
        <v/>
      </c>
      <c r="J218" s="3" t="str">
        <f>IF(OR(F218="",A218=""),"",AND(F218&gt;=INDEX([1]Contracts!$B:$B, MATCH(A218, [1]Contracts!$A:$A, 0)), F218&lt;=INDEX([1]Contracts!$C:$C, MATCH(A218, [1]Contracts!$A:$A, 0))))</f>
        <v/>
      </c>
    </row>
    <row r="219" spans="9:10">
      <c r="I219" s="3" t="str">
        <f t="shared" ca="1" si="4"/>
        <v/>
      </c>
      <c r="J219" s="3" t="str">
        <f>IF(OR(F219="",A219=""),"",AND(F219&gt;=INDEX([1]Contracts!$B:$B, MATCH(A219, [1]Contracts!$A:$A, 0)), F219&lt;=INDEX([1]Contracts!$C:$C, MATCH(A219, [1]Contracts!$A:$A, 0))))</f>
        <v/>
      </c>
    </row>
    <row r="220" spans="9:10">
      <c r="I220" s="3" t="str">
        <f t="shared" ca="1" si="4"/>
        <v/>
      </c>
      <c r="J220" s="3" t="str">
        <f>IF(OR(F220="",A220=""),"",AND(F220&gt;=INDEX([1]Contracts!$B:$B, MATCH(A220, [1]Contracts!$A:$A, 0)), F220&lt;=INDEX([1]Contracts!$C:$C, MATCH(A220, [1]Contracts!$A:$A, 0))))</f>
        <v/>
      </c>
    </row>
    <row r="221" spans="9:10">
      <c r="I221" s="3" t="str">
        <f t="shared" ca="1" si="4"/>
        <v/>
      </c>
      <c r="J221" s="3" t="str">
        <f>IF(OR(F221="",A221=""),"",AND(F221&gt;=INDEX([1]Contracts!$B:$B, MATCH(A221, [1]Contracts!$A:$A, 0)), F221&lt;=INDEX([1]Contracts!$C:$C, MATCH(A221, [1]Contracts!$A:$A, 0))))</f>
        <v/>
      </c>
    </row>
    <row r="222" spans="9:10">
      <c r="I222" s="3" t="str">
        <f t="shared" ca="1" si="4"/>
        <v/>
      </c>
      <c r="J222" s="3" t="str">
        <f>IF(OR(F222="",A222=""),"",AND(F222&gt;=INDEX([1]Contracts!$B:$B, MATCH(A222, [1]Contracts!$A:$A, 0)), F222&lt;=INDEX([1]Contracts!$C:$C, MATCH(A222, [1]Contracts!$A:$A, 0))))</f>
        <v/>
      </c>
    </row>
    <row r="223" spans="9:10">
      <c r="I223" s="3" t="str">
        <f t="shared" ca="1" si="4"/>
        <v/>
      </c>
      <c r="J223" s="3" t="str">
        <f>IF(OR(F223="",A223=""),"",AND(F223&gt;=INDEX([1]Contracts!$B:$B, MATCH(A223, [1]Contracts!$A:$A, 0)), F223&lt;=INDEX([1]Contracts!$C:$C, MATCH(A223, [1]Contracts!$A:$A, 0))))</f>
        <v/>
      </c>
    </row>
    <row r="224" spans="9:10">
      <c r="I224" s="3" t="str">
        <f t="shared" ca="1" si="4"/>
        <v/>
      </c>
      <c r="J224" s="3" t="str">
        <f>IF(OR(F224="",A224=""),"",AND(F224&gt;=INDEX([1]Contracts!$B:$B, MATCH(A224, [1]Contracts!$A:$A, 0)), F224&lt;=INDEX([1]Contracts!$C:$C, MATCH(A224, [1]Contracts!$A:$A, 0))))</f>
        <v/>
      </c>
    </row>
    <row r="225" spans="9:10">
      <c r="I225" s="3" t="str">
        <f t="shared" ca="1" si="4"/>
        <v/>
      </c>
      <c r="J225" s="3" t="str">
        <f>IF(OR(F225="",A225=""),"",AND(F225&gt;=INDEX([1]Contracts!$B:$B, MATCH(A225, [1]Contracts!$A:$A, 0)), F225&lt;=INDEX([1]Contracts!$C:$C, MATCH(A225, [1]Contracts!$A:$A, 0))))</f>
        <v/>
      </c>
    </row>
    <row r="226" spans="9:10">
      <c r="I226" s="3" t="str">
        <f t="shared" ca="1" si="4"/>
        <v/>
      </c>
      <c r="J226" s="3" t="str">
        <f>IF(OR(F226="",A226=""),"",AND(F226&gt;=INDEX([1]Contracts!$B:$B, MATCH(A226, [1]Contracts!$A:$A, 0)), F226&lt;=INDEX([1]Contracts!$C:$C, MATCH(A226, [1]Contracts!$A:$A, 0))))</f>
        <v/>
      </c>
    </row>
    <row r="227" spans="9:10">
      <c r="I227" s="3" t="str">
        <f t="shared" ca="1" si="4"/>
        <v/>
      </c>
      <c r="J227" s="3" t="str">
        <f>IF(OR(F227="",A227=""),"",AND(F227&gt;=INDEX([1]Contracts!$B:$B, MATCH(A227, [1]Contracts!$A:$A, 0)), F227&lt;=INDEX([1]Contracts!$C:$C, MATCH(A227, [1]Contracts!$A:$A, 0))))</f>
        <v/>
      </c>
    </row>
    <row r="228" spans="9:10">
      <c r="I228" s="3" t="str">
        <f t="shared" ca="1" si="4"/>
        <v/>
      </c>
      <c r="J228" s="3" t="str">
        <f>IF(OR(F228="",A228=""),"",AND(F228&gt;=INDEX([1]Contracts!$B:$B, MATCH(A228, [1]Contracts!$A:$A, 0)), F228&lt;=INDEX([1]Contracts!$C:$C, MATCH(A228, [1]Contracts!$A:$A, 0))))</f>
        <v/>
      </c>
    </row>
    <row r="229" spans="9:10">
      <c r="I229" s="3" t="str">
        <f t="shared" ca="1" si="4"/>
        <v/>
      </c>
      <c r="J229" s="3" t="str">
        <f>IF(OR(F229="",A229=""),"",AND(F229&gt;=INDEX([1]Contracts!$B:$B, MATCH(A229, [1]Contracts!$A:$A, 0)), F229&lt;=INDEX([1]Contracts!$C:$C, MATCH(A229, [1]Contracts!$A:$A, 0))))</f>
        <v/>
      </c>
    </row>
    <row r="230" spans="9:10">
      <c r="I230" s="3" t="str">
        <f t="shared" ca="1" si="4"/>
        <v/>
      </c>
      <c r="J230" s="3" t="str">
        <f>IF(OR(F230="",A230=""),"",AND(F230&gt;=INDEX([1]Contracts!$B:$B, MATCH(A230, [1]Contracts!$A:$A, 0)), F230&lt;=INDEX([1]Contracts!$C:$C, MATCH(A230, [1]Contracts!$A:$A, 0))))</f>
        <v/>
      </c>
    </row>
    <row r="231" spans="9:10">
      <c r="I231" s="3" t="str">
        <f t="shared" ca="1" si="4"/>
        <v/>
      </c>
      <c r="J231" s="3" t="str">
        <f>IF(OR(F231="",A231=""),"",AND(F231&gt;=INDEX([1]Contracts!$B:$B, MATCH(A231, [1]Contracts!$A:$A, 0)), F231&lt;=INDEX([1]Contracts!$C:$C, MATCH(A231, [1]Contracts!$A:$A, 0))))</f>
        <v/>
      </c>
    </row>
    <row r="232" spans="9:10">
      <c r="I232" s="3" t="str">
        <f t="shared" ca="1" si="4"/>
        <v/>
      </c>
      <c r="J232" s="3" t="str">
        <f>IF(OR(F232="",A232=""),"",AND(F232&gt;=INDEX([1]Contracts!$B:$B, MATCH(A232, [1]Contracts!$A:$A, 0)), F232&lt;=INDEX([1]Contracts!$C:$C, MATCH(A232, [1]Contracts!$A:$A, 0))))</f>
        <v/>
      </c>
    </row>
    <row r="233" spans="9:10">
      <c r="I233" s="3" t="str">
        <f t="shared" ca="1" si="4"/>
        <v/>
      </c>
      <c r="J233" s="3" t="str">
        <f>IF(OR(F233="",A233=""),"",AND(F233&gt;=INDEX([1]Contracts!$B:$B, MATCH(A233, [1]Contracts!$A:$A, 0)), F233&lt;=INDEX([1]Contracts!$C:$C, MATCH(A233, [1]Contracts!$A:$A, 0))))</f>
        <v/>
      </c>
    </row>
    <row r="234" spans="9:10">
      <c r="I234" s="3" t="str">
        <f t="shared" ca="1" si="4"/>
        <v/>
      </c>
      <c r="J234" s="3" t="str">
        <f>IF(OR(F234="",A234=""),"",AND(F234&gt;=INDEX([1]Contracts!$B:$B, MATCH(A234, [1]Contracts!$A:$A, 0)), F234&lt;=INDEX([1]Contracts!$C:$C, MATCH(A234, [1]Contracts!$A:$A, 0))))</f>
        <v/>
      </c>
    </row>
    <row r="235" spans="9:10">
      <c r="I235" s="3" t="str">
        <f t="shared" ca="1" si="4"/>
        <v/>
      </c>
      <c r="J235" s="3" t="str">
        <f>IF(OR(F235="",A235=""),"",AND(F235&gt;=INDEX([1]Contracts!$B:$B, MATCH(A235, [1]Contracts!$A:$A, 0)), F235&lt;=INDEX([1]Contracts!$C:$C, MATCH(A235, [1]Contracts!$A:$A, 0))))</f>
        <v/>
      </c>
    </row>
    <row r="236" spans="9:10">
      <c r="I236" s="3" t="str">
        <f t="shared" ca="1" si="4"/>
        <v/>
      </c>
      <c r="J236" s="3" t="str">
        <f>IF(OR(F236="",A236=""),"",AND(F236&gt;=INDEX([1]Contracts!$B:$B, MATCH(A236, [1]Contracts!$A:$A, 0)), F236&lt;=INDEX([1]Contracts!$C:$C, MATCH(A236, [1]Contracts!$A:$A, 0))))</f>
        <v/>
      </c>
    </row>
    <row r="237" spans="9:10">
      <c r="I237" s="3" t="str">
        <f t="shared" ca="1" si="4"/>
        <v/>
      </c>
      <c r="J237" s="3" t="str">
        <f>IF(OR(F237="",A237=""),"",AND(F237&gt;=INDEX([1]Contracts!$B:$B, MATCH(A237, [1]Contracts!$A:$A, 0)), F237&lt;=INDEX([1]Contracts!$C:$C, MATCH(A237, [1]Contracts!$A:$A, 0))))</f>
        <v/>
      </c>
    </row>
    <row r="238" spans="9:10">
      <c r="I238" s="3" t="str">
        <f t="shared" ca="1" si="4"/>
        <v/>
      </c>
      <c r="J238" s="3" t="str">
        <f>IF(OR(F238="",A238=""),"",AND(F238&gt;=INDEX([1]Contracts!$B:$B, MATCH(A238, [1]Contracts!$A:$A, 0)), F238&lt;=INDEX([1]Contracts!$C:$C, MATCH(A238, [1]Contracts!$A:$A, 0))))</f>
        <v/>
      </c>
    </row>
    <row r="239" spans="9:10">
      <c r="I239" s="3" t="str">
        <f t="shared" ca="1" si="4"/>
        <v/>
      </c>
      <c r="J239" s="3" t="str">
        <f>IF(OR(F239="",A239=""),"",AND(F239&gt;=INDEX([1]Contracts!$B:$B, MATCH(A239, [1]Contracts!$A:$A, 0)), F239&lt;=INDEX([1]Contracts!$C:$C, MATCH(A239, [1]Contracts!$A:$A, 0))))</f>
        <v/>
      </c>
    </row>
    <row r="240" spans="9:10">
      <c r="I240" s="3" t="str">
        <f t="shared" ca="1" si="4"/>
        <v/>
      </c>
      <c r="J240" s="3" t="str">
        <f>IF(OR(F240="",A240=""),"",AND(F240&gt;=INDEX([1]Contracts!$B:$B, MATCH(A240, [1]Contracts!$A:$A, 0)), F240&lt;=INDEX([1]Contracts!$C:$C, MATCH(A240, [1]Contracts!$A:$A, 0))))</f>
        <v/>
      </c>
    </row>
    <row r="241" spans="9:10">
      <c r="I241" s="3" t="str">
        <f t="shared" ca="1" si="4"/>
        <v/>
      </c>
      <c r="J241" s="3" t="str">
        <f>IF(OR(F241="",A241=""),"",AND(F241&gt;=INDEX([1]Contracts!$B:$B, MATCH(A241, [1]Contracts!$A:$A, 0)), F241&lt;=INDEX([1]Contracts!$C:$C, MATCH(A241, [1]Contracts!$A:$A, 0))))</f>
        <v/>
      </c>
    </row>
    <row r="242" spans="9:10">
      <c r="I242" s="3" t="str">
        <f t="shared" ca="1" si="4"/>
        <v/>
      </c>
      <c r="J242" s="3" t="str">
        <f>IF(OR(F242="",A242=""),"",AND(F242&gt;=INDEX([1]Contracts!$B:$B, MATCH(A242, [1]Contracts!$A:$A, 0)), F242&lt;=INDEX([1]Contracts!$C:$C, MATCH(A242, [1]Contracts!$A:$A, 0))))</f>
        <v/>
      </c>
    </row>
    <row r="243" spans="9:10">
      <c r="I243" s="3" t="str">
        <f t="shared" ca="1" si="4"/>
        <v/>
      </c>
      <c r="J243" s="3" t="str">
        <f>IF(OR(F243="",A243=""),"",AND(F243&gt;=INDEX([1]Contracts!$B:$B, MATCH(A243, [1]Contracts!$A:$A, 0)), F243&lt;=INDEX([1]Contracts!$C:$C, MATCH(A243, [1]Contracts!$A:$A, 0))))</f>
        <v/>
      </c>
    </row>
    <row r="244" spans="9:10">
      <c r="I244" s="3" t="str">
        <f t="shared" ca="1" si="4"/>
        <v/>
      </c>
      <c r="J244" s="3" t="str">
        <f>IF(OR(F244="",A244=""),"",AND(F244&gt;=INDEX([1]Contracts!$B:$B, MATCH(A244, [1]Contracts!$A:$A, 0)), F244&lt;=INDEX([1]Contracts!$C:$C, MATCH(A244, [1]Contracts!$A:$A, 0))))</f>
        <v/>
      </c>
    </row>
    <row r="245" spans="9:10">
      <c r="I245" s="3" t="str">
        <f t="shared" ca="1" si="4"/>
        <v/>
      </c>
      <c r="J245" s="3" t="str">
        <f>IF(OR(F245="",A245=""),"",AND(F245&gt;=INDEX([1]Contracts!$B:$B, MATCH(A245, [1]Contracts!$A:$A, 0)), F245&lt;=INDEX([1]Contracts!$C:$C, MATCH(A245, [1]Contracts!$A:$A, 0))))</f>
        <v/>
      </c>
    </row>
    <row r="246" spans="9:10">
      <c r="I246" s="3" t="str">
        <f t="shared" ca="1" si="4"/>
        <v/>
      </c>
      <c r="J246" s="3" t="str">
        <f>IF(OR(F246="",A246=""),"",AND(F246&gt;=INDEX([1]Contracts!$B:$B, MATCH(A246, [1]Contracts!$A:$A, 0)), F246&lt;=INDEX([1]Contracts!$C:$C, MATCH(A246, [1]Contracts!$A:$A, 0))))</f>
        <v/>
      </c>
    </row>
    <row r="247" spans="9:10">
      <c r="I247" s="3" t="str">
        <f t="shared" ca="1" si="4"/>
        <v/>
      </c>
      <c r="J247" s="3" t="str">
        <f>IF(OR(F247="",A247=""),"",AND(F247&gt;=INDEX([1]Contracts!$B:$B, MATCH(A247, [1]Contracts!$A:$A, 0)), F247&lt;=INDEX([1]Contracts!$C:$C, MATCH(A247, [1]Contracts!$A:$A, 0))))</f>
        <v/>
      </c>
    </row>
    <row r="248" spans="9:10">
      <c r="I248" s="3" t="str">
        <f t="shared" ca="1" si="4"/>
        <v/>
      </c>
      <c r="J248" s="3" t="str">
        <f>IF(OR(F248="",A248=""),"",AND(F248&gt;=INDEX([1]Contracts!$B:$B, MATCH(A248, [1]Contracts!$A:$A, 0)), F248&lt;=INDEX([1]Contracts!$C:$C, MATCH(A248, [1]Contracts!$A:$A, 0))))</f>
        <v/>
      </c>
    </row>
    <row r="249" spans="9:10">
      <c r="I249" s="3" t="str">
        <f t="shared" ca="1" si="4"/>
        <v/>
      </c>
      <c r="J249" s="3" t="str">
        <f>IF(OR(F249="",A249=""),"",AND(F249&gt;=INDEX([1]Contracts!$B:$B, MATCH(A249, [1]Contracts!$A:$A, 0)), F249&lt;=INDEX([1]Contracts!$C:$C, MATCH(A249, [1]Contracts!$A:$A, 0))))</f>
        <v/>
      </c>
    </row>
    <row r="250" spans="9:10">
      <c r="I250" s="3" t="str">
        <f t="shared" ca="1" si="4"/>
        <v/>
      </c>
      <c r="J250" s="3" t="str">
        <f>IF(OR(F250="",A250=""),"",AND(F250&gt;=INDEX([1]Contracts!$B:$B, MATCH(A250, [1]Contracts!$A:$A, 0)), F250&lt;=INDEX([1]Contracts!$C:$C, MATCH(A250, [1]Contracts!$A:$A, 0))))</f>
        <v/>
      </c>
    </row>
    <row r="251" spans="9:10">
      <c r="I251" s="3" t="str">
        <f t="shared" ca="1" si="4"/>
        <v/>
      </c>
      <c r="J251" s="3" t="str">
        <f>IF(OR(F251="",A251=""),"",AND(F251&gt;=INDEX([1]Contracts!$B:$B, MATCH(A251, [1]Contracts!$A:$A, 0)), F251&lt;=INDEX([1]Contracts!$C:$C, MATCH(A251, [1]Contracts!$A:$A, 0))))</f>
        <v/>
      </c>
    </row>
    <row r="252" spans="9:10">
      <c r="I252" s="3" t="str">
        <f t="shared" ca="1" si="4"/>
        <v/>
      </c>
      <c r="J252" s="3" t="str">
        <f>IF(OR(F252="",A252=""),"",AND(F252&gt;=INDEX([1]Contracts!$B:$B, MATCH(A252, [1]Contracts!$A:$A, 0)), F252&lt;=INDEX([1]Contracts!$C:$C, MATCH(A252, [1]Contracts!$A:$A, 0))))</f>
        <v/>
      </c>
    </row>
    <row r="253" spans="9:10">
      <c r="I253" s="3" t="str">
        <f t="shared" ca="1" si="4"/>
        <v/>
      </c>
      <c r="J253" s="3" t="str">
        <f>IF(OR(F253="",A253=""),"",AND(F253&gt;=INDEX([1]Contracts!$B:$B, MATCH(A253, [1]Contracts!$A:$A, 0)), F253&lt;=INDEX([1]Contracts!$C:$C, MATCH(A253, [1]Contracts!$A:$A, 0))))</f>
        <v/>
      </c>
    </row>
    <row r="254" spans="9:10">
      <c r="I254" s="3" t="str">
        <f t="shared" ca="1" si="4"/>
        <v/>
      </c>
      <c r="J254" s="3" t="str">
        <f>IF(OR(F254="",A254=""),"",AND(F254&gt;=INDEX([1]Contracts!$B:$B, MATCH(A254, [1]Contracts!$A:$A, 0)), F254&lt;=INDEX([1]Contracts!$C:$C, MATCH(A254, [1]Contracts!$A:$A, 0))))</f>
        <v/>
      </c>
    </row>
    <row r="255" spans="9:10">
      <c r="I255" s="3" t="str">
        <f t="shared" ca="1" si="4"/>
        <v/>
      </c>
      <c r="J255" s="3" t="str">
        <f>IF(OR(F255="",A255=""),"",AND(F255&gt;=INDEX([1]Contracts!$B:$B, MATCH(A255, [1]Contracts!$A:$A, 0)), F255&lt;=INDEX([1]Contracts!$C:$C, MATCH(A255, [1]Contracts!$A:$A, 0))))</f>
        <v/>
      </c>
    </row>
    <row r="256" spans="9:10">
      <c r="I256" s="3" t="str">
        <f t="shared" ca="1" si="4"/>
        <v/>
      </c>
      <c r="J256" s="3" t="str">
        <f>IF(OR(F256="",A256=""),"",AND(F256&gt;=INDEX([1]Contracts!$B:$B, MATCH(A256, [1]Contracts!$A:$A, 0)), F256&lt;=INDEX([1]Contracts!$C:$C, MATCH(A256, [1]Contracts!$A:$A, 0))))</f>
        <v/>
      </c>
    </row>
    <row r="257" spans="9:10">
      <c r="I257" s="3" t="str">
        <f t="shared" ca="1" si="4"/>
        <v/>
      </c>
      <c r="J257" s="3" t="str">
        <f>IF(OR(F257="",A257=""),"",AND(F257&gt;=INDEX([1]Contracts!$B:$B, MATCH(A257, [1]Contracts!$A:$A, 0)), F257&lt;=INDEX([1]Contracts!$C:$C, MATCH(A257, [1]Contracts!$A:$A, 0))))</f>
        <v/>
      </c>
    </row>
    <row r="258" spans="9:10">
      <c r="I258" s="3" t="str">
        <f t="shared" ca="1" si="4"/>
        <v/>
      </c>
      <c r="J258" s="3" t="str">
        <f>IF(OR(F258="",A258=""),"",AND(F258&gt;=INDEX([1]Contracts!$B:$B, MATCH(A258, [1]Contracts!$A:$A, 0)), F258&lt;=INDEX([1]Contracts!$C:$C, MATCH(A258, [1]Contracts!$A:$A, 0))))</f>
        <v/>
      </c>
    </row>
    <row r="259" spans="9:10">
      <c r="I259" s="3" t="str">
        <f t="shared" ca="1" si="4"/>
        <v/>
      </c>
      <c r="J259" s="3" t="str">
        <f>IF(OR(F259="",A259=""),"",AND(F259&gt;=INDEX([1]Contracts!$B:$B, MATCH(A259, [1]Contracts!$A:$A, 0)), F259&lt;=INDEX([1]Contracts!$C:$C, MATCH(A259, [1]Contracts!$A:$A, 0))))</f>
        <v/>
      </c>
    </row>
    <row r="260" spans="9:10">
      <c r="I260" s="3" t="str">
        <f t="shared" ca="1" si="4"/>
        <v/>
      </c>
      <c r="J260" s="3" t="str">
        <f>IF(OR(F260="",A260=""),"",AND(F260&gt;=INDEX([1]Contracts!$B:$B, MATCH(A260, [1]Contracts!$A:$A, 0)), F260&lt;=INDEX([1]Contracts!$C:$C, MATCH(A260, [1]Contracts!$A:$A, 0))))</f>
        <v/>
      </c>
    </row>
    <row r="261" spans="9:10">
      <c r="I261" s="3" t="str">
        <f t="shared" ca="1" si="4"/>
        <v/>
      </c>
      <c r="J261" s="3" t="str">
        <f>IF(OR(F261="",A261=""),"",AND(F261&gt;=INDEX([1]Contracts!$B:$B, MATCH(A261, [1]Contracts!$A:$A, 0)), F261&lt;=INDEX([1]Contracts!$C:$C, MATCH(A261, [1]Contracts!$A:$A, 0))))</f>
        <v/>
      </c>
    </row>
    <row r="262" spans="9:10">
      <c r="I262" s="3" t="str">
        <f t="shared" ca="1" si="4"/>
        <v/>
      </c>
      <c r="J262" s="3" t="str">
        <f>IF(OR(F262="",A262=""),"",AND(F262&gt;=INDEX([1]Contracts!$B:$B, MATCH(A262, [1]Contracts!$A:$A, 0)), F262&lt;=INDEX([1]Contracts!$C:$C, MATCH(A262, [1]Contracts!$A:$A, 0))))</f>
        <v/>
      </c>
    </row>
    <row r="263" spans="9:10">
      <c r="I263" s="3" t="str">
        <f t="shared" ca="1" si="4"/>
        <v/>
      </c>
      <c r="J263" s="3" t="str">
        <f>IF(OR(F263="",A263=""),"",AND(F263&gt;=INDEX([1]Contracts!$B:$B, MATCH(A263, [1]Contracts!$A:$A, 0)), F263&lt;=INDEX([1]Contracts!$C:$C, MATCH(A263, [1]Contracts!$A:$A, 0))))</f>
        <v/>
      </c>
    </row>
    <row r="264" spans="9:10">
      <c r="I264" s="3" t="str">
        <f t="shared" ref="I264:I327" ca="1" si="5">IF(F264="","",F264-TODAY())</f>
        <v/>
      </c>
      <c r="J264" s="3" t="str">
        <f>IF(OR(F264="",A264=""),"",AND(F264&gt;=INDEX([1]Contracts!$B:$B, MATCH(A264, [1]Contracts!$A:$A, 0)), F264&lt;=INDEX([1]Contracts!$C:$C, MATCH(A264, [1]Contracts!$A:$A, 0))))</f>
        <v/>
      </c>
    </row>
    <row r="265" spans="9:10">
      <c r="I265" s="3" t="str">
        <f t="shared" ca="1" si="5"/>
        <v/>
      </c>
      <c r="J265" s="3" t="str">
        <f>IF(OR(F265="",A265=""),"",AND(F265&gt;=INDEX([1]Contracts!$B:$B, MATCH(A265, [1]Contracts!$A:$A, 0)), F265&lt;=INDEX([1]Contracts!$C:$C, MATCH(A265, [1]Contracts!$A:$A, 0))))</f>
        <v/>
      </c>
    </row>
    <row r="266" spans="9:10">
      <c r="I266" s="3" t="str">
        <f t="shared" ca="1" si="5"/>
        <v/>
      </c>
      <c r="J266" s="3" t="str">
        <f>IF(OR(F266="",A266=""),"",AND(F266&gt;=INDEX([1]Contracts!$B:$B, MATCH(A266, [1]Contracts!$A:$A, 0)), F266&lt;=INDEX([1]Contracts!$C:$C, MATCH(A266, [1]Contracts!$A:$A, 0))))</f>
        <v/>
      </c>
    </row>
    <row r="267" spans="9:10">
      <c r="I267" s="3" t="str">
        <f t="shared" ca="1" si="5"/>
        <v/>
      </c>
      <c r="J267" s="3" t="str">
        <f>IF(OR(F267="",A267=""),"",AND(F267&gt;=INDEX([1]Contracts!$B:$B, MATCH(A267, [1]Contracts!$A:$A, 0)), F267&lt;=INDEX([1]Contracts!$C:$C, MATCH(A267, [1]Contracts!$A:$A, 0))))</f>
        <v/>
      </c>
    </row>
    <row r="268" spans="9:10">
      <c r="I268" s="3" t="str">
        <f t="shared" ca="1" si="5"/>
        <v/>
      </c>
      <c r="J268" s="3" t="str">
        <f>IF(OR(F268="",A268=""),"",AND(F268&gt;=INDEX([1]Contracts!$B:$B, MATCH(A268, [1]Contracts!$A:$A, 0)), F268&lt;=INDEX([1]Contracts!$C:$C, MATCH(A268, [1]Contracts!$A:$A, 0))))</f>
        <v/>
      </c>
    </row>
    <row r="269" spans="9:10">
      <c r="I269" s="3" t="str">
        <f t="shared" ca="1" si="5"/>
        <v/>
      </c>
      <c r="J269" s="3" t="str">
        <f>IF(OR(F269="",A269=""),"",AND(F269&gt;=INDEX([1]Contracts!$B:$B, MATCH(A269, [1]Contracts!$A:$A, 0)), F269&lt;=INDEX([1]Contracts!$C:$C, MATCH(A269, [1]Contracts!$A:$A, 0))))</f>
        <v/>
      </c>
    </row>
    <row r="270" spans="9:10">
      <c r="I270" s="3" t="str">
        <f t="shared" ca="1" si="5"/>
        <v/>
      </c>
      <c r="J270" s="3" t="str">
        <f>IF(OR(F270="",A270=""),"",AND(F270&gt;=INDEX([1]Contracts!$B:$B, MATCH(A270, [1]Contracts!$A:$A, 0)), F270&lt;=INDEX([1]Contracts!$C:$C, MATCH(A270, [1]Contracts!$A:$A, 0))))</f>
        <v/>
      </c>
    </row>
    <row r="271" spans="9:10">
      <c r="I271" s="3" t="str">
        <f t="shared" ca="1" si="5"/>
        <v/>
      </c>
      <c r="J271" s="3" t="str">
        <f>IF(OR(F271="",A271=""),"",AND(F271&gt;=INDEX([1]Contracts!$B:$B, MATCH(A271, [1]Contracts!$A:$A, 0)), F271&lt;=INDEX([1]Contracts!$C:$C, MATCH(A271, [1]Contracts!$A:$A, 0))))</f>
        <v/>
      </c>
    </row>
    <row r="272" spans="9:10">
      <c r="I272" s="3" t="str">
        <f t="shared" ca="1" si="5"/>
        <v/>
      </c>
      <c r="J272" s="3" t="str">
        <f>IF(OR(F272="",A272=""),"",AND(F272&gt;=INDEX([1]Contracts!$B:$B, MATCH(A272, [1]Contracts!$A:$A, 0)), F272&lt;=INDEX([1]Contracts!$C:$C, MATCH(A272, [1]Contracts!$A:$A, 0))))</f>
        <v/>
      </c>
    </row>
    <row r="273" spans="9:10">
      <c r="I273" s="3" t="str">
        <f t="shared" ca="1" si="5"/>
        <v/>
      </c>
      <c r="J273" s="3" t="str">
        <f>IF(OR(F273="",A273=""),"",AND(F273&gt;=INDEX([1]Contracts!$B:$B, MATCH(A273, [1]Contracts!$A:$A, 0)), F273&lt;=INDEX([1]Contracts!$C:$C, MATCH(A273, [1]Contracts!$A:$A, 0))))</f>
        <v/>
      </c>
    </row>
    <row r="274" spans="9:10">
      <c r="I274" s="3" t="str">
        <f t="shared" ca="1" si="5"/>
        <v/>
      </c>
      <c r="J274" s="3" t="str">
        <f>IF(OR(F274="",A274=""),"",AND(F274&gt;=INDEX([1]Contracts!$B:$B, MATCH(A274, [1]Contracts!$A:$A, 0)), F274&lt;=INDEX([1]Contracts!$C:$C, MATCH(A274, [1]Contracts!$A:$A, 0))))</f>
        <v/>
      </c>
    </row>
    <row r="275" spans="9:10">
      <c r="I275" s="3" t="str">
        <f t="shared" ca="1" si="5"/>
        <v/>
      </c>
      <c r="J275" s="3" t="str">
        <f>IF(OR(F275="",A275=""),"",AND(F275&gt;=INDEX([1]Contracts!$B:$B, MATCH(A275, [1]Contracts!$A:$A, 0)), F275&lt;=INDEX([1]Contracts!$C:$C, MATCH(A275, [1]Contracts!$A:$A, 0))))</f>
        <v/>
      </c>
    </row>
    <row r="276" spans="9:10">
      <c r="I276" s="3" t="str">
        <f t="shared" ca="1" si="5"/>
        <v/>
      </c>
      <c r="J276" s="3" t="str">
        <f>IF(OR(F276="",A276=""),"",AND(F276&gt;=INDEX([1]Contracts!$B:$B, MATCH(A276, [1]Contracts!$A:$A, 0)), F276&lt;=INDEX([1]Contracts!$C:$C, MATCH(A276, [1]Contracts!$A:$A, 0))))</f>
        <v/>
      </c>
    </row>
    <row r="277" spans="9:10">
      <c r="I277" s="3" t="str">
        <f t="shared" ca="1" si="5"/>
        <v/>
      </c>
      <c r="J277" s="3" t="str">
        <f>IF(OR(F277="",A277=""),"",AND(F277&gt;=INDEX([1]Contracts!$B:$B, MATCH(A277, [1]Contracts!$A:$A, 0)), F277&lt;=INDEX([1]Contracts!$C:$C, MATCH(A277, [1]Contracts!$A:$A, 0))))</f>
        <v/>
      </c>
    </row>
    <row r="278" spans="9:10">
      <c r="I278" s="3" t="str">
        <f t="shared" ca="1" si="5"/>
        <v/>
      </c>
      <c r="J278" s="3" t="str">
        <f>IF(OR(F278="",A278=""),"",AND(F278&gt;=INDEX([1]Contracts!$B:$B, MATCH(A278, [1]Contracts!$A:$A, 0)), F278&lt;=INDEX([1]Contracts!$C:$C, MATCH(A278, [1]Contracts!$A:$A, 0))))</f>
        <v/>
      </c>
    </row>
    <row r="279" spans="9:10">
      <c r="I279" s="3" t="str">
        <f t="shared" ca="1" si="5"/>
        <v/>
      </c>
      <c r="J279" s="3" t="str">
        <f>IF(OR(F279="",A279=""),"",AND(F279&gt;=INDEX([1]Contracts!$B:$B, MATCH(A279, [1]Contracts!$A:$A, 0)), F279&lt;=INDEX([1]Contracts!$C:$C, MATCH(A279, [1]Contracts!$A:$A, 0))))</f>
        <v/>
      </c>
    </row>
    <row r="280" spans="9:10">
      <c r="I280" s="3" t="str">
        <f t="shared" ca="1" si="5"/>
        <v/>
      </c>
      <c r="J280" s="3" t="str">
        <f>IF(OR(F280="",A280=""),"",AND(F280&gt;=INDEX([1]Contracts!$B:$B, MATCH(A280, [1]Contracts!$A:$A, 0)), F280&lt;=INDEX([1]Contracts!$C:$C, MATCH(A280, [1]Contracts!$A:$A, 0))))</f>
        <v/>
      </c>
    </row>
    <row r="281" spans="9:10">
      <c r="I281" s="3" t="str">
        <f t="shared" ca="1" si="5"/>
        <v/>
      </c>
      <c r="J281" s="3" t="str">
        <f>IF(OR(F281="",A281=""),"",AND(F281&gt;=INDEX([1]Contracts!$B:$B, MATCH(A281, [1]Contracts!$A:$A, 0)), F281&lt;=INDEX([1]Contracts!$C:$C, MATCH(A281, [1]Contracts!$A:$A, 0))))</f>
        <v/>
      </c>
    </row>
    <row r="282" spans="9:10">
      <c r="I282" s="3" t="str">
        <f t="shared" ca="1" si="5"/>
        <v/>
      </c>
      <c r="J282" s="3" t="str">
        <f>IF(OR(F282="",A282=""),"",AND(F282&gt;=INDEX([1]Contracts!$B:$B, MATCH(A282, [1]Contracts!$A:$A, 0)), F282&lt;=INDEX([1]Contracts!$C:$C, MATCH(A282, [1]Contracts!$A:$A, 0))))</f>
        <v/>
      </c>
    </row>
    <row r="283" spans="9:10">
      <c r="I283" s="3" t="str">
        <f t="shared" ca="1" si="5"/>
        <v/>
      </c>
      <c r="J283" s="3" t="str">
        <f>IF(OR(F283="",A283=""),"",AND(F283&gt;=INDEX([1]Contracts!$B:$B, MATCH(A283, [1]Contracts!$A:$A, 0)), F283&lt;=INDEX([1]Contracts!$C:$C, MATCH(A283, [1]Contracts!$A:$A, 0))))</f>
        <v/>
      </c>
    </row>
    <row r="284" spans="9:10">
      <c r="I284" s="3" t="str">
        <f t="shared" ca="1" si="5"/>
        <v/>
      </c>
      <c r="J284" s="3" t="str">
        <f>IF(OR(F284="",A284=""),"",AND(F284&gt;=INDEX([1]Contracts!$B:$B, MATCH(A284, [1]Contracts!$A:$A, 0)), F284&lt;=INDEX([1]Contracts!$C:$C, MATCH(A284, [1]Contracts!$A:$A, 0))))</f>
        <v/>
      </c>
    </row>
    <row r="285" spans="9:10">
      <c r="I285" s="3" t="str">
        <f t="shared" ca="1" si="5"/>
        <v/>
      </c>
      <c r="J285" s="3" t="str">
        <f>IF(OR(F285="",A285=""),"",AND(F285&gt;=INDEX([1]Contracts!$B:$B, MATCH(A285, [1]Contracts!$A:$A, 0)), F285&lt;=INDEX([1]Contracts!$C:$C, MATCH(A285, [1]Contracts!$A:$A, 0))))</f>
        <v/>
      </c>
    </row>
    <row r="286" spans="9:10">
      <c r="I286" s="3" t="str">
        <f t="shared" ca="1" si="5"/>
        <v/>
      </c>
      <c r="J286" s="3" t="str">
        <f>IF(OR(F286="",A286=""),"",AND(F286&gt;=INDEX([1]Contracts!$B:$B, MATCH(A286, [1]Contracts!$A:$A, 0)), F286&lt;=INDEX([1]Contracts!$C:$C, MATCH(A286, [1]Contracts!$A:$A, 0))))</f>
        <v/>
      </c>
    </row>
    <row r="287" spans="9:10">
      <c r="I287" s="3" t="str">
        <f t="shared" ca="1" si="5"/>
        <v/>
      </c>
      <c r="J287" s="3" t="str">
        <f>IF(OR(F287="",A287=""),"",AND(F287&gt;=INDEX([1]Contracts!$B:$B, MATCH(A287, [1]Contracts!$A:$A, 0)), F287&lt;=INDEX([1]Contracts!$C:$C, MATCH(A287, [1]Contracts!$A:$A, 0))))</f>
        <v/>
      </c>
    </row>
    <row r="288" spans="9:10">
      <c r="I288" s="3" t="str">
        <f t="shared" ca="1" si="5"/>
        <v/>
      </c>
      <c r="J288" s="3" t="str">
        <f>IF(OR(F288="",A288=""),"",AND(F288&gt;=INDEX([1]Contracts!$B:$B, MATCH(A288, [1]Contracts!$A:$A, 0)), F288&lt;=INDEX([1]Contracts!$C:$C, MATCH(A288, [1]Contracts!$A:$A, 0))))</f>
        <v/>
      </c>
    </row>
    <row r="289" spans="9:10">
      <c r="I289" s="3" t="str">
        <f t="shared" ca="1" si="5"/>
        <v/>
      </c>
      <c r="J289" s="3" t="str">
        <f>IF(OR(F289="",A289=""),"",AND(F289&gt;=INDEX([1]Contracts!$B:$B, MATCH(A289, [1]Contracts!$A:$A, 0)), F289&lt;=INDEX([1]Contracts!$C:$C, MATCH(A289, [1]Contracts!$A:$A, 0))))</f>
        <v/>
      </c>
    </row>
    <row r="290" spans="9:10">
      <c r="I290" s="3" t="str">
        <f t="shared" ca="1" si="5"/>
        <v/>
      </c>
      <c r="J290" s="3" t="str">
        <f>IF(OR(F290="",A290=""),"",AND(F290&gt;=INDEX([1]Contracts!$B:$B, MATCH(A290, [1]Contracts!$A:$A, 0)), F290&lt;=INDEX([1]Contracts!$C:$C, MATCH(A290, [1]Contracts!$A:$A, 0))))</f>
        <v/>
      </c>
    </row>
    <row r="291" spans="9:10">
      <c r="I291" s="3" t="str">
        <f t="shared" ca="1" si="5"/>
        <v/>
      </c>
      <c r="J291" s="3" t="str">
        <f>IF(OR(F291="",A291=""),"",AND(F291&gt;=INDEX([1]Contracts!$B:$B, MATCH(A291, [1]Contracts!$A:$A, 0)), F291&lt;=INDEX([1]Contracts!$C:$C, MATCH(A291, [1]Contracts!$A:$A, 0))))</f>
        <v/>
      </c>
    </row>
    <row r="292" spans="9:10">
      <c r="I292" s="3" t="str">
        <f t="shared" ca="1" si="5"/>
        <v/>
      </c>
      <c r="J292" s="3" t="str">
        <f>IF(OR(F292="",A292=""),"",AND(F292&gt;=INDEX([1]Contracts!$B:$B, MATCH(A292, [1]Contracts!$A:$A, 0)), F292&lt;=INDEX([1]Contracts!$C:$C, MATCH(A292, [1]Contracts!$A:$A, 0))))</f>
        <v/>
      </c>
    </row>
    <row r="293" spans="9:10">
      <c r="I293" s="3" t="str">
        <f t="shared" ca="1" si="5"/>
        <v/>
      </c>
      <c r="J293" s="3" t="str">
        <f>IF(OR(F293="",A293=""),"",AND(F293&gt;=INDEX([1]Contracts!$B:$B, MATCH(A293, [1]Contracts!$A:$A, 0)), F293&lt;=INDEX([1]Contracts!$C:$C, MATCH(A293, [1]Contracts!$A:$A, 0))))</f>
        <v/>
      </c>
    </row>
    <row r="294" spans="9:10">
      <c r="I294" s="3" t="str">
        <f t="shared" ca="1" si="5"/>
        <v/>
      </c>
      <c r="J294" s="3" t="str">
        <f>IF(OR(F294="",A294=""),"",AND(F294&gt;=INDEX([1]Contracts!$B:$B, MATCH(A294, [1]Contracts!$A:$A, 0)), F294&lt;=INDEX([1]Contracts!$C:$C, MATCH(A294, [1]Contracts!$A:$A, 0))))</f>
        <v/>
      </c>
    </row>
    <row r="295" spans="9:10">
      <c r="I295" s="3" t="str">
        <f t="shared" ca="1" si="5"/>
        <v/>
      </c>
      <c r="J295" s="3" t="str">
        <f>IF(OR(F295="",A295=""),"",AND(F295&gt;=INDEX([1]Contracts!$B:$B, MATCH(A295, [1]Contracts!$A:$A, 0)), F295&lt;=INDEX([1]Contracts!$C:$C, MATCH(A295, [1]Contracts!$A:$A, 0))))</f>
        <v/>
      </c>
    </row>
    <row r="296" spans="9:10">
      <c r="I296" s="3" t="str">
        <f t="shared" ca="1" si="5"/>
        <v/>
      </c>
      <c r="J296" s="3" t="str">
        <f>IF(OR(F296="",A296=""),"",AND(F296&gt;=INDEX([1]Contracts!$B:$B, MATCH(A296, [1]Contracts!$A:$A, 0)), F296&lt;=INDEX([1]Contracts!$C:$C, MATCH(A296, [1]Contracts!$A:$A, 0))))</f>
        <v/>
      </c>
    </row>
    <row r="297" spans="9:10">
      <c r="I297" s="3" t="str">
        <f t="shared" ca="1" si="5"/>
        <v/>
      </c>
      <c r="J297" s="3" t="str">
        <f>IF(OR(F297="",A297=""),"",AND(F297&gt;=INDEX([1]Contracts!$B:$B, MATCH(A297, [1]Contracts!$A:$A, 0)), F297&lt;=INDEX([1]Contracts!$C:$C, MATCH(A297, [1]Contracts!$A:$A, 0))))</f>
        <v/>
      </c>
    </row>
    <row r="298" spans="9:10">
      <c r="I298" s="3" t="str">
        <f t="shared" ca="1" si="5"/>
        <v/>
      </c>
      <c r="J298" s="3" t="str">
        <f>IF(OR(F298="",A298=""),"",AND(F298&gt;=INDEX([1]Contracts!$B:$B, MATCH(A298, [1]Contracts!$A:$A, 0)), F298&lt;=INDEX([1]Contracts!$C:$C, MATCH(A298, [1]Contracts!$A:$A, 0))))</f>
        <v/>
      </c>
    </row>
    <row r="299" spans="9:10">
      <c r="I299" s="3" t="str">
        <f t="shared" ca="1" si="5"/>
        <v/>
      </c>
      <c r="J299" s="3" t="str">
        <f>IF(OR(F299="",A299=""),"",AND(F299&gt;=INDEX([1]Contracts!$B:$B, MATCH(A299, [1]Contracts!$A:$A, 0)), F299&lt;=INDEX([1]Contracts!$C:$C, MATCH(A299, [1]Contracts!$A:$A, 0))))</f>
        <v/>
      </c>
    </row>
    <row r="300" spans="9:10">
      <c r="I300" s="3" t="str">
        <f t="shared" ca="1" si="5"/>
        <v/>
      </c>
      <c r="J300" s="3" t="str">
        <f>IF(OR(F300="",A300=""),"",AND(F300&gt;=INDEX([1]Contracts!$B:$B, MATCH(A300, [1]Contracts!$A:$A, 0)), F300&lt;=INDEX([1]Contracts!$C:$C, MATCH(A300, [1]Contracts!$A:$A, 0))))</f>
        <v/>
      </c>
    </row>
    <row r="301" spans="9:10">
      <c r="I301" s="3" t="str">
        <f t="shared" ca="1" si="5"/>
        <v/>
      </c>
      <c r="J301" s="3" t="str">
        <f>IF(OR(F301="",A301=""),"",AND(F301&gt;=INDEX([1]Contracts!$B:$B, MATCH(A301, [1]Contracts!$A:$A, 0)), F301&lt;=INDEX([1]Contracts!$C:$C, MATCH(A301, [1]Contracts!$A:$A, 0))))</f>
        <v/>
      </c>
    </row>
    <row r="302" spans="9:10">
      <c r="I302" s="3" t="str">
        <f t="shared" ca="1" si="5"/>
        <v/>
      </c>
      <c r="J302" s="3" t="str">
        <f>IF(OR(F302="",A302=""),"",AND(F302&gt;=INDEX([1]Contracts!$B:$B, MATCH(A302, [1]Contracts!$A:$A, 0)), F302&lt;=INDEX([1]Contracts!$C:$C, MATCH(A302, [1]Contracts!$A:$A, 0))))</f>
        <v/>
      </c>
    </row>
    <row r="303" spans="9:10">
      <c r="I303" s="3" t="str">
        <f t="shared" ca="1" si="5"/>
        <v/>
      </c>
      <c r="J303" s="3" t="str">
        <f>IF(OR(F303="",A303=""),"",AND(F303&gt;=INDEX([1]Contracts!$B:$B, MATCH(A303, [1]Contracts!$A:$A, 0)), F303&lt;=INDEX([1]Contracts!$C:$C, MATCH(A303, [1]Contracts!$A:$A, 0))))</f>
        <v/>
      </c>
    </row>
    <row r="304" spans="9:10">
      <c r="I304" s="3" t="str">
        <f t="shared" ca="1" si="5"/>
        <v/>
      </c>
      <c r="J304" s="3" t="str">
        <f>IF(OR(F304="",A304=""),"",AND(F304&gt;=INDEX([1]Contracts!$B:$B, MATCH(A304, [1]Contracts!$A:$A, 0)), F304&lt;=INDEX([1]Contracts!$C:$C, MATCH(A304, [1]Contracts!$A:$A, 0))))</f>
        <v/>
      </c>
    </row>
    <row r="305" spans="9:10">
      <c r="I305" s="3" t="str">
        <f t="shared" ca="1" si="5"/>
        <v/>
      </c>
      <c r="J305" s="3" t="str">
        <f>IF(OR(F305="",A305=""),"",AND(F305&gt;=INDEX([1]Contracts!$B:$B, MATCH(A305, [1]Contracts!$A:$A, 0)), F305&lt;=INDEX([1]Contracts!$C:$C, MATCH(A305, [1]Contracts!$A:$A, 0))))</f>
        <v/>
      </c>
    </row>
    <row r="306" spans="9:10">
      <c r="I306" s="3" t="str">
        <f t="shared" ca="1" si="5"/>
        <v/>
      </c>
      <c r="J306" s="3" t="str">
        <f>IF(OR(F306="",A306=""),"",AND(F306&gt;=INDEX([1]Contracts!$B:$B, MATCH(A306, [1]Contracts!$A:$A, 0)), F306&lt;=INDEX([1]Contracts!$C:$C, MATCH(A306, [1]Contracts!$A:$A, 0))))</f>
        <v/>
      </c>
    </row>
    <row r="307" spans="9:10">
      <c r="I307" s="3" t="str">
        <f t="shared" ca="1" si="5"/>
        <v/>
      </c>
      <c r="J307" s="3" t="str">
        <f>IF(OR(F307="",A307=""),"",AND(F307&gt;=INDEX([1]Contracts!$B:$B, MATCH(A307, [1]Contracts!$A:$A, 0)), F307&lt;=INDEX([1]Contracts!$C:$C, MATCH(A307, [1]Contracts!$A:$A, 0))))</f>
        <v/>
      </c>
    </row>
    <row r="308" spans="9:10">
      <c r="I308" s="3" t="str">
        <f t="shared" ca="1" si="5"/>
        <v/>
      </c>
      <c r="J308" s="3" t="str">
        <f>IF(OR(F308="",A308=""),"",AND(F308&gt;=INDEX([1]Contracts!$B:$B, MATCH(A308, [1]Contracts!$A:$A, 0)), F308&lt;=INDEX([1]Contracts!$C:$C, MATCH(A308, [1]Contracts!$A:$A, 0))))</f>
        <v/>
      </c>
    </row>
    <row r="309" spans="9:10">
      <c r="I309" s="3" t="str">
        <f t="shared" ca="1" si="5"/>
        <v/>
      </c>
      <c r="J309" s="3" t="str">
        <f>IF(OR(F309="",A309=""),"",AND(F309&gt;=INDEX([1]Contracts!$B:$B, MATCH(A309, [1]Contracts!$A:$A, 0)), F309&lt;=INDEX([1]Contracts!$C:$C, MATCH(A309, [1]Contracts!$A:$A, 0))))</f>
        <v/>
      </c>
    </row>
    <row r="310" spans="9:10">
      <c r="I310" s="3" t="str">
        <f t="shared" ca="1" si="5"/>
        <v/>
      </c>
      <c r="J310" s="3" t="str">
        <f>IF(OR(F310="",A310=""),"",AND(F310&gt;=INDEX([1]Contracts!$B:$B, MATCH(A310, [1]Contracts!$A:$A, 0)), F310&lt;=INDEX([1]Contracts!$C:$C, MATCH(A310, [1]Contracts!$A:$A, 0))))</f>
        <v/>
      </c>
    </row>
    <row r="311" spans="9:10">
      <c r="I311" s="3" t="str">
        <f t="shared" ca="1" si="5"/>
        <v/>
      </c>
      <c r="J311" s="3" t="str">
        <f>IF(OR(F311="",A311=""),"",AND(F311&gt;=INDEX([1]Contracts!$B:$B, MATCH(A311, [1]Contracts!$A:$A, 0)), F311&lt;=INDEX([1]Contracts!$C:$C, MATCH(A311, [1]Contracts!$A:$A, 0))))</f>
        <v/>
      </c>
    </row>
    <row r="312" spans="9:10">
      <c r="I312" s="3" t="str">
        <f t="shared" ca="1" si="5"/>
        <v/>
      </c>
      <c r="J312" s="3" t="str">
        <f>IF(OR(F312="",A312=""),"",AND(F312&gt;=INDEX([1]Contracts!$B:$B, MATCH(A312, [1]Contracts!$A:$A, 0)), F312&lt;=INDEX([1]Contracts!$C:$C, MATCH(A312, [1]Contracts!$A:$A, 0))))</f>
        <v/>
      </c>
    </row>
    <row r="313" spans="9:10">
      <c r="I313" s="3" t="str">
        <f t="shared" ca="1" si="5"/>
        <v/>
      </c>
      <c r="J313" s="3" t="str">
        <f>IF(OR(F313="",A313=""),"",AND(F313&gt;=INDEX([1]Contracts!$B:$B, MATCH(A313, [1]Contracts!$A:$A, 0)), F313&lt;=INDEX([1]Contracts!$C:$C, MATCH(A313, [1]Contracts!$A:$A, 0))))</f>
        <v/>
      </c>
    </row>
    <row r="314" spans="9:10">
      <c r="I314" s="3" t="str">
        <f t="shared" ca="1" si="5"/>
        <v/>
      </c>
      <c r="J314" s="3" t="str">
        <f>IF(OR(F314="",A314=""),"",AND(F314&gt;=INDEX([1]Contracts!$B:$B, MATCH(A314, [1]Contracts!$A:$A, 0)), F314&lt;=INDEX([1]Contracts!$C:$C, MATCH(A314, [1]Contracts!$A:$A, 0))))</f>
        <v/>
      </c>
    </row>
    <row r="315" spans="9:10">
      <c r="I315" s="3" t="str">
        <f t="shared" ca="1" si="5"/>
        <v/>
      </c>
      <c r="J315" s="3" t="str">
        <f>IF(OR(F315="",A315=""),"",AND(F315&gt;=INDEX([1]Contracts!$B:$B, MATCH(A315, [1]Contracts!$A:$A, 0)), F315&lt;=INDEX([1]Contracts!$C:$C, MATCH(A315, [1]Contracts!$A:$A, 0))))</f>
        <v/>
      </c>
    </row>
    <row r="316" spans="9:10">
      <c r="I316" s="3" t="str">
        <f t="shared" ca="1" si="5"/>
        <v/>
      </c>
      <c r="J316" s="3" t="str">
        <f>IF(OR(F316="",A316=""),"",AND(F316&gt;=INDEX([1]Contracts!$B:$B, MATCH(A316, [1]Contracts!$A:$A, 0)), F316&lt;=INDEX([1]Contracts!$C:$C, MATCH(A316, [1]Contracts!$A:$A, 0))))</f>
        <v/>
      </c>
    </row>
    <row r="317" spans="9:10">
      <c r="I317" s="3" t="str">
        <f t="shared" ca="1" si="5"/>
        <v/>
      </c>
      <c r="J317" s="3" t="str">
        <f>IF(OR(F317="",A317=""),"",AND(F317&gt;=INDEX([1]Contracts!$B:$B, MATCH(A317, [1]Contracts!$A:$A, 0)), F317&lt;=INDEX([1]Contracts!$C:$C, MATCH(A317, [1]Contracts!$A:$A, 0))))</f>
        <v/>
      </c>
    </row>
    <row r="318" spans="9:10">
      <c r="I318" s="3" t="str">
        <f t="shared" ca="1" si="5"/>
        <v/>
      </c>
      <c r="J318" s="3" t="str">
        <f>IF(OR(F318="",A318=""),"",AND(F318&gt;=INDEX([1]Contracts!$B:$B, MATCH(A318, [1]Contracts!$A:$A, 0)), F318&lt;=INDEX([1]Contracts!$C:$C, MATCH(A318, [1]Contracts!$A:$A, 0))))</f>
        <v/>
      </c>
    </row>
    <row r="319" spans="9:10">
      <c r="I319" s="3" t="str">
        <f t="shared" ca="1" si="5"/>
        <v/>
      </c>
      <c r="J319" s="3" t="str">
        <f>IF(OR(F319="",A319=""),"",AND(F319&gt;=INDEX([1]Contracts!$B:$B, MATCH(A319, [1]Contracts!$A:$A, 0)), F319&lt;=INDEX([1]Contracts!$C:$C, MATCH(A319, [1]Contracts!$A:$A, 0))))</f>
        <v/>
      </c>
    </row>
    <row r="320" spans="9:10">
      <c r="I320" s="3" t="str">
        <f t="shared" ca="1" si="5"/>
        <v/>
      </c>
      <c r="J320" s="3" t="str">
        <f>IF(OR(F320="",A320=""),"",AND(F320&gt;=INDEX([1]Contracts!$B:$B, MATCH(A320, [1]Contracts!$A:$A, 0)), F320&lt;=INDEX([1]Contracts!$C:$C, MATCH(A320, [1]Contracts!$A:$A, 0))))</f>
        <v/>
      </c>
    </row>
    <row r="321" spans="9:10">
      <c r="I321" s="3" t="str">
        <f t="shared" ca="1" si="5"/>
        <v/>
      </c>
      <c r="J321" s="3" t="str">
        <f>IF(OR(F321="",A321=""),"",AND(F321&gt;=INDEX([1]Contracts!$B:$B, MATCH(A321, [1]Contracts!$A:$A, 0)), F321&lt;=INDEX([1]Contracts!$C:$C, MATCH(A321, [1]Contracts!$A:$A, 0))))</f>
        <v/>
      </c>
    </row>
    <row r="322" spans="9:10">
      <c r="I322" s="3" t="str">
        <f t="shared" ca="1" si="5"/>
        <v/>
      </c>
      <c r="J322" s="3" t="str">
        <f>IF(OR(F322="",A322=""),"",AND(F322&gt;=INDEX([1]Contracts!$B:$B, MATCH(A322, [1]Contracts!$A:$A, 0)), F322&lt;=INDEX([1]Contracts!$C:$C, MATCH(A322, [1]Contracts!$A:$A, 0))))</f>
        <v/>
      </c>
    </row>
    <row r="323" spans="9:10">
      <c r="I323" s="3" t="str">
        <f t="shared" ca="1" si="5"/>
        <v/>
      </c>
      <c r="J323" s="3" t="str">
        <f>IF(OR(F323="",A323=""),"",AND(F323&gt;=INDEX([1]Contracts!$B:$B, MATCH(A323, [1]Contracts!$A:$A, 0)), F323&lt;=INDEX([1]Contracts!$C:$C, MATCH(A323, [1]Contracts!$A:$A, 0))))</f>
        <v/>
      </c>
    </row>
    <row r="324" spans="9:10">
      <c r="I324" s="3" t="str">
        <f t="shared" ca="1" si="5"/>
        <v/>
      </c>
      <c r="J324" s="3" t="str">
        <f>IF(OR(F324="",A324=""),"",AND(F324&gt;=INDEX([1]Contracts!$B:$B, MATCH(A324, [1]Contracts!$A:$A, 0)), F324&lt;=INDEX([1]Contracts!$C:$C, MATCH(A324, [1]Contracts!$A:$A, 0))))</f>
        <v/>
      </c>
    </row>
    <row r="325" spans="9:10">
      <c r="I325" s="3" t="str">
        <f t="shared" ca="1" si="5"/>
        <v/>
      </c>
      <c r="J325" s="3" t="str">
        <f>IF(OR(F325="",A325=""),"",AND(F325&gt;=INDEX([1]Contracts!$B:$B, MATCH(A325, [1]Contracts!$A:$A, 0)), F325&lt;=INDEX([1]Contracts!$C:$C, MATCH(A325, [1]Contracts!$A:$A, 0))))</f>
        <v/>
      </c>
    </row>
    <row r="326" spans="9:10">
      <c r="I326" s="3" t="str">
        <f t="shared" ca="1" si="5"/>
        <v/>
      </c>
      <c r="J326" s="3" t="str">
        <f>IF(OR(F326="",A326=""),"",AND(F326&gt;=INDEX([1]Contracts!$B:$B, MATCH(A326, [1]Contracts!$A:$A, 0)), F326&lt;=INDEX([1]Contracts!$C:$C, MATCH(A326, [1]Contracts!$A:$A, 0))))</f>
        <v/>
      </c>
    </row>
    <row r="327" spans="9:10">
      <c r="I327" s="3" t="str">
        <f t="shared" ca="1" si="5"/>
        <v/>
      </c>
      <c r="J327" s="3" t="str">
        <f>IF(OR(F327="",A327=""),"",AND(F327&gt;=INDEX([1]Contracts!$B:$B, MATCH(A327, [1]Contracts!$A:$A, 0)), F327&lt;=INDEX([1]Contracts!$C:$C, MATCH(A327, [1]Contracts!$A:$A, 0))))</f>
        <v/>
      </c>
    </row>
    <row r="328" spans="9:10">
      <c r="I328" s="3" t="str">
        <f t="shared" ref="I328:I391" ca="1" si="6">IF(F328="","",F328-TODAY())</f>
        <v/>
      </c>
      <c r="J328" s="3" t="str">
        <f>IF(OR(F328="",A328=""),"",AND(F328&gt;=INDEX([1]Contracts!$B:$B, MATCH(A328, [1]Contracts!$A:$A, 0)), F328&lt;=INDEX([1]Contracts!$C:$C, MATCH(A328, [1]Contracts!$A:$A, 0))))</f>
        <v/>
      </c>
    </row>
    <row r="329" spans="9:10">
      <c r="I329" s="3" t="str">
        <f t="shared" ca="1" si="6"/>
        <v/>
      </c>
      <c r="J329" s="3" t="str">
        <f>IF(OR(F329="",A329=""),"",AND(F329&gt;=INDEX([1]Contracts!$B:$B, MATCH(A329, [1]Contracts!$A:$A, 0)), F329&lt;=INDEX([1]Contracts!$C:$C, MATCH(A329, [1]Contracts!$A:$A, 0))))</f>
        <v/>
      </c>
    </row>
    <row r="330" spans="9:10">
      <c r="I330" s="3" t="str">
        <f t="shared" ca="1" si="6"/>
        <v/>
      </c>
      <c r="J330" s="3" t="str">
        <f>IF(OR(F330="",A330=""),"",AND(F330&gt;=INDEX([1]Contracts!$B:$B, MATCH(A330, [1]Contracts!$A:$A, 0)), F330&lt;=INDEX([1]Contracts!$C:$C, MATCH(A330, [1]Contracts!$A:$A, 0))))</f>
        <v/>
      </c>
    </row>
    <row r="331" spans="9:10">
      <c r="I331" s="3" t="str">
        <f t="shared" ca="1" si="6"/>
        <v/>
      </c>
      <c r="J331" s="3" t="str">
        <f>IF(OR(F331="",A331=""),"",AND(F331&gt;=INDEX([1]Contracts!$B:$B, MATCH(A331, [1]Contracts!$A:$A, 0)), F331&lt;=INDEX([1]Contracts!$C:$C, MATCH(A331, [1]Contracts!$A:$A, 0))))</f>
        <v/>
      </c>
    </row>
    <row r="332" spans="9:10">
      <c r="I332" s="3" t="str">
        <f t="shared" ca="1" si="6"/>
        <v/>
      </c>
      <c r="J332" s="3" t="str">
        <f>IF(OR(F332="",A332=""),"",AND(F332&gt;=INDEX([1]Contracts!$B:$B, MATCH(A332, [1]Contracts!$A:$A, 0)), F332&lt;=INDEX([1]Contracts!$C:$C, MATCH(A332, [1]Contracts!$A:$A, 0))))</f>
        <v/>
      </c>
    </row>
    <row r="333" spans="9:10">
      <c r="I333" s="3" t="str">
        <f t="shared" ca="1" si="6"/>
        <v/>
      </c>
      <c r="J333" s="3" t="str">
        <f>IF(OR(F333="",A333=""),"",AND(F333&gt;=INDEX([1]Contracts!$B:$B, MATCH(A333, [1]Contracts!$A:$A, 0)), F333&lt;=INDEX([1]Contracts!$C:$C, MATCH(A333, [1]Contracts!$A:$A, 0))))</f>
        <v/>
      </c>
    </row>
    <row r="334" spans="9:10">
      <c r="I334" s="3" t="str">
        <f t="shared" ca="1" si="6"/>
        <v/>
      </c>
      <c r="J334" s="3" t="str">
        <f>IF(OR(F334="",A334=""),"",AND(F334&gt;=INDEX([1]Contracts!$B:$B, MATCH(A334, [1]Contracts!$A:$A, 0)), F334&lt;=INDEX([1]Contracts!$C:$C, MATCH(A334, [1]Contracts!$A:$A, 0))))</f>
        <v/>
      </c>
    </row>
    <row r="335" spans="9:10">
      <c r="I335" s="3" t="str">
        <f t="shared" ca="1" si="6"/>
        <v/>
      </c>
      <c r="J335" s="3" t="str">
        <f>IF(OR(F335="",A335=""),"",AND(F335&gt;=INDEX([1]Contracts!$B:$B, MATCH(A335, [1]Contracts!$A:$A, 0)), F335&lt;=INDEX([1]Contracts!$C:$C, MATCH(A335, [1]Contracts!$A:$A, 0))))</f>
        <v/>
      </c>
    </row>
    <row r="336" spans="9:10">
      <c r="I336" s="3" t="str">
        <f t="shared" ca="1" si="6"/>
        <v/>
      </c>
      <c r="J336" s="3" t="str">
        <f>IF(OR(F336="",A336=""),"",AND(F336&gt;=INDEX([1]Contracts!$B:$B, MATCH(A336, [1]Contracts!$A:$A, 0)), F336&lt;=INDEX([1]Contracts!$C:$C, MATCH(A336, [1]Contracts!$A:$A, 0))))</f>
        <v/>
      </c>
    </row>
    <row r="337" spans="9:10">
      <c r="I337" s="3" t="str">
        <f t="shared" ca="1" si="6"/>
        <v/>
      </c>
      <c r="J337" s="3" t="str">
        <f>IF(OR(F337="",A337=""),"",AND(F337&gt;=INDEX([1]Contracts!$B:$B, MATCH(A337, [1]Contracts!$A:$A, 0)), F337&lt;=INDEX([1]Contracts!$C:$C, MATCH(A337, [1]Contracts!$A:$A, 0))))</f>
        <v/>
      </c>
    </row>
    <row r="338" spans="9:10">
      <c r="I338" s="3" t="str">
        <f t="shared" ca="1" si="6"/>
        <v/>
      </c>
      <c r="J338" s="3" t="str">
        <f>IF(OR(F338="",A338=""),"",AND(F338&gt;=INDEX([1]Contracts!$B:$B, MATCH(A338, [1]Contracts!$A:$A, 0)), F338&lt;=INDEX([1]Contracts!$C:$C, MATCH(A338, [1]Contracts!$A:$A, 0))))</f>
        <v/>
      </c>
    </row>
    <row r="339" spans="9:10">
      <c r="I339" s="3" t="str">
        <f t="shared" ca="1" si="6"/>
        <v/>
      </c>
      <c r="J339" s="3" t="str">
        <f>IF(OR(F339="",A339=""),"",AND(F339&gt;=INDEX([1]Contracts!$B:$B, MATCH(A339, [1]Contracts!$A:$A, 0)), F339&lt;=INDEX([1]Contracts!$C:$C, MATCH(A339, [1]Contracts!$A:$A, 0))))</f>
        <v/>
      </c>
    </row>
    <row r="340" spans="9:10">
      <c r="I340" s="3" t="str">
        <f t="shared" ca="1" si="6"/>
        <v/>
      </c>
      <c r="J340" s="3" t="str">
        <f>IF(OR(F340="",A340=""),"",AND(F340&gt;=INDEX([1]Contracts!$B:$B, MATCH(A340, [1]Contracts!$A:$A, 0)), F340&lt;=INDEX([1]Contracts!$C:$C, MATCH(A340, [1]Contracts!$A:$A, 0))))</f>
        <v/>
      </c>
    </row>
    <row r="341" spans="9:10">
      <c r="I341" s="3" t="str">
        <f t="shared" ca="1" si="6"/>
        <v/>
      </c>
      <c r="J341" s="3" t="str">
        <f>IF(OR(F341="",A341=""),"",AND(F341&gt;=INDEX([1]Contracts!$B:$B, MATCH(A341, [1]Contracts!$A:$A, 0)), F341&lt;=INDEX([1]Contracts!$C:$C, MATCH(A341, [1]Contracts!$A:$A, 0))))</f>
        <v/>
      </c>
    </row>
    <row r="342" spans="9:10">
      <c r="I342" s="3" t="str">
        <f t="shared" ca="1" si="6"/>
        <v/>
      </c>
      <c r="J342" s="3" t="str">
        <f>IF(OR(F342="",A342=""),"",AND(F342&gt;=INDEX([1]Contracts!$B:$B, MATCH(A342, [1]Contracts!$A:$A, 0)), F342&lt;=INDEX([1]Contracts!$C:$C, MATCH(A342, [1]Contracts!$A:$A, 0))))</f>
        <v/>
      </c>
    </row>
    <row r="343" spans="9:10">
      <c r="I343" s="3" t="str">
        <f t="shared" ca="1" si="6"/>
        <v/>
      </c>
      <c r="J343" s="3" t="str">
        <f>IF(OR(F343="",A343=""),"",AND(F343&gt;=INDEX([1]Contracts!$B:$B, MATCH(A343, [1]Contracts!$A:$A, 0)), F343&lt;=INDEX([1]Contracts!$C:$C, MATCH(A343, [1]Contracts!$A:$A, 0))))</f>
        <v/>
      </c>
    </row>
    <row r="344" spans="9:10">
      <c r="I344" s="3" t="str">
        <f t="shared" ca="1" si="6"/>
        <v/>
      </c>
      <c r="J344" s="3" t="str">
        <f>IF(OR(F344="",A344=""),"",AND(F344&gt;=INDEX([1]Contracts!$B:$B, MATCH(A344, [1]Contracts!$A:$A, 0)), F344&lt;=INDEX([1]Contracts!$C:$C, MATCH(A344, [1]Contracts!$A:$A, 0))))</f>
        <v/>
      </c>
    </row>
    <row r="345" spans="9:10">
      <c r="I345" s="3" t="str">
        <f t="shared" ca="1" si="6"/>
        <v/>
      </c>
      <c r="J345" s="3" t="str">
        <f>IF(OR(F345="",A345=""),"",AND(F345&gt;=INDEX([1]Contracts!$B:$B, MATCH(A345, [1]Contracts!$A:$A, 0)), F345&lt;=INDEX([1]Contracts!$C:$C, MATCH(A345, [1]Contracts!$A:$A, 0))))</f>
        <v/>
      </c>
    </row>
    <row r="346" spans="9:10">
      <c r="I346" s="3" t="str">
        <f t="shared" ca="1" si="6"/>
        <v/>
      </c>
      <c r="J346" s="3" t="str">
        <f>IF(OR(F346="",A346=""),"",AND(F346&gt;=INDEX([1]Contracts!$B:$B, MATCH(A346, [1]Contracts!$A:$A, 0)), F346&lt;=INDEX([1]Contracts!$C:$C, MATCH(A346, [1]Contracts!$A:$A, 0))))</f>
        <v/>
      </c>
    </row>
    <row r="347" spans="9:10">
      <c r="I347" s="3" t="str">
        <f t="shared" ca="1" si="6"/>
        <v/>
      </c>
      <c r="J347" s="3" t="str">
        <f>IF(OR(F347="",A347=""),"",AND(F347&gt;=INDEX([1]Contracts!$B:$B, MATCH(A347, [1]Contracts!$A:$A, 0)), F347&lt;=INDEX([1]Contracts!$C:$C, MATCH(A347, [1]Contracts!$A:$A, 0))))</f>
        <v/>
      </c>
    </row>
    <row r="348" spans="9:10">
      <c r="I348" s="3" t="str">
        <f t="shared" ca="1" si="6"/>
        <v/>
      </c>
      <c r="J348" s="3" t="str">
        <f>IF(OR(F348="",A348=""),"",AND(F348&gt;=INDEX([1]Contracts!$B:$B, MATCH(A348, [1]Contracts!$A:$A, 0)), F348&lt;=INDEX([1]Contracts!$C:$C, MATCH(A348, [1]Contracts!$A:$A, 0))))</f>
        <v/>
      </c>
    </row>
    <row r="349" spans="9:10">
      <c r="I349" s="3" t="str">
        <f t="shared" ca="1" si="6"/>
        <v/>
      </c>
      <c r="J349" s="3" t="str">
        <f>IF(OR(F349="",A349=""),"",AND(F349&gt;=INDEX([1]Contracts!$B:$B, MATCH(A349, [1]Contracts!$A:$A, 0)), F349&lt;=INDEX([1]Contracts!$C:$C, MATCH(A349, [1]Contracts!$A:$A, 0))))</f>
        <v/>
      </c>
    </row>
    <row r="350" spans="9:10">
      <c r="I350" s="3" t="str">
        <f t="shared" ca="1" si="6"/>
        <v/>
      </c>
      <c r="J350" s="3" t="str">
        <f>IF(OR(F350="",A350=""),"",AND(F350&gt;=INDEX([1]Contracts!$B:$B, MATCH(A350, [1]Contracts!$A:$A, 0)), F350&lt;=INDEX([1]Contracts!$C:$C, MATCH(A350, [1]Contracts!$A:$A, 0))))</f>
        <v/>
      </c>
    </row>
    <row r="351" spans="9:10">
      <c r="I351" s="3" t="str">
        <f t="shared" ca="1" si="6"/>
        <v/>
      </c>
      <c r="J351" s="3" t="str">
        <f>IF(OR(F351="",A351=""),"",AND(F351&gt;=INDEX([1]Contracts!$B:$B, MATCH(A351, [1]Contracts!$A:$A, 0)), F351&lt;=INDEX([1]Contracts!$C:$C, MATCH(A351, [1]Contracts!$A:$A, 0))))</f>
        <v/>
      </c>
    </row>
    <row r="352" spans="9:10">
      <c r="I352" s="3" t="str">
        <f t="shared" ca="1" si="6"/>
        <v/>
      </c>
      <c r="J352" s="3" t="str">
        <f>IF(OR(F352="",A352=""),"",AND(F352&gt;=INDEX([1]Contracts!$B:$B, MATCH(A352, [1]Contracts!$A:$A, 0)), F352&lt;=INDEX([1]Contracts!$C:$C, MATCH(A352, [1]Contracts!$A:$A, 0))))</f>
        <v/>
      </c>
    </row>
    <row r="353" spans="9:10">
      <c r="I353" s="3" t="str">
        <f t="shared" ca="1" si="6"/>
        <v/>
      </c>
      <c r="J353" s="3" t="str">
        <f>IF(OR(F353="",A353=""),"",AND(F353&gt;=INDEX([1]Contracts!$B:$B, MATCH(A353, [1]Contracts!$A:$A, 0)), F353&lt;=INDEX([1]Contracts!$C:$C, MATCH(A353, [1]Contracts!$A:$A, 0))))</f>
        <v/>
      </c>
    </row>
    <row r="354" spans="9:10">
      <c r="I354" s="3" t="str">
        <f t="shared" ca="1" si="6"/>
        <v/>
      </c>
      <c r="J354" s="3" t="str">
        <f>IF(OR(F354="",A354=""),"",AND(F354&gt;=INDEX([1]Contracts!$B:$B, MATCH(A354, [1]Contracts!$A:$A, 0)), F354&lt;=INDEX([1]Contracts!$C:$C, MATCH(A354, [1]Contracts!$A:$A, 0))))</f>
        <v/>
      </c>
    </row>
    <row r="355" spans="9:10">
      <c r="I355" s="3" t="str">
        <f t="shared" ca="1" si="6"/>
        <v/>
      </c>
      <c r="J355" s="3" t="str">
        <f>IF(OR(F355="",A355=""),"",AND(F355&gt;=INDEX([1]Contracts!$B:$B, MATCH(A355, [1]Contracts!$A:$A, 0)), F355&lt;=INDEX([1]Contracts!$C:$C, MATCH(A355, [1]Contracts!$A:$A, 0))))</f>
        <v/>
      </c>
    </row>
    <row r="356" spans="9:10">
      <c r="I356" s="3" t="str">
        <f t="shared" ca="1" si="6"/>
        <v/>
      </c>
      <c r="J356" s="3" t="str">
        <f>IF(OR(F356="",A356=""),"",AND(F356&gt;=INDEX([1]Contracts!$B:$B, MATCH(A356, [1]Contracts!$A:$A, 0)), F356&lt;=INDEX([1]Contracts!$C:$C, MATCH(A356, [1]Contracts!$A:$A, 0))))</f>
        <v/>
      </c>
    </row>
    <row r="357" spans="9:10">
      <c r="I357" s="3" t="str">
        <f t="shared" ca="1" si="6"/>
        <v/>
      </c>
      <c r="J357" s="3" t="str">
        <f>IF(OR(F357="",A357=""),"",AND(F357&gt;=INDEX([1]Contracts!$B:$B, MATCH(A357, [1]Contracts!$A:$A, 0)), F357&lt;=INDEX([1]Contracts!$C:$C, MATCH(A357, [1]Contracts!$A:$A, 0))))</f>
        <v/>
      </c>
    </row>
    <row r="358" spans="9:10">
      <c r="I358" s="3" t="str">
        <f t="shared" ca="1" si="6"/>
        <v/>
      </c>
      <c r="J358" s="3" t="str">
        <f>IF(OR(F358="",A358=""),"",AND(F358&gt;=INDEX([1]Contracts!$B:$B, MATCH(A358, [1]Contracts!$A:$A, 0)), F358&lt;=INDEX([1]Contracts!$C:$C, MATCH(A358, [1]Contracts!$A:$A, 0))))</f>
        <v/>
      </c>
    </row>
    <row r="359" spans="9:10">
      <c r="I359" s="3" t="str">
        <f t="shared" ca="1" si="6"/>
        <v/>
      </c>
      <c r="J359" s="3" t="str">
        <f>IF(OR(F359="",A359=""),"",AND(F359&gt;=INDEX([1]Contracts!$B:$B, MATCH(A359, [1]Contracts!$A:$A, 0)), F359&lt;=INDEX([1]Contracts!$C:$C, MATCH(A359, [1]Contracts!$A:$A, 0))))</f>
        <v/>
      </c>
    </row>
    <row r="360" spans="9:10">
      <c r="I360" s="3" t="str">
        <f t="shared" ca="1" si="6"/>
        <v/>
      </c>
      <c r="J360" s="3" t="str">
        <f>IF(OR(F360="",A360=""),"",AND(F360&gt;=INDEX([1]Contracts!$B:$B, MATCH(A360, [1]Contracts!$A:$A, 0)), F360&lt;=INDEX([1]Contracts!$C:$C, MATCH(A360, [1]Contracts!$A:$A, 0))))</f>
        <v/>
      </c>
    </row>
    <row r="361" spans="9:10">
      <c r="I361" s="3" t="str">
        <f t="shared" ca="1" si="6"/>
        <v/>
      </c>
      <c r="J361" s="3" t="str">
        <f>IF(OR(F361="",A361=""),"",AND(F361&gt;=INDEX([1]Contracts!$B:$B, MATCH(A361, [1]Contracts!$A:$A, 0)), F361&lt;=INDEX([1]Contracts!$C:$C, MATCH(A361, [1]Contracts!$A:$A, 0))))</f>
        <v/>
      </c>
    </row>
    <row r="362" spans="9:10">
      <c r="I362" s="3" t="str">
        <f t="shared" ca="1" si="6"/>
        <v/>
      </c>
      <c r="J362" s="3" t="str">
        <f>IF(OR(F362="",A362=""),"",AND(F362&gt;=INDEX([1]Contracts!$B:$B, MATCH(A362, [1]Contracts!$A:$A, 0)), F362&lt;=INDEX([1]Contracts!$C:$C, MATCH(A362, [1]Contracts!$A:$A, 0))))</f>
        <v/>
      </c>
    </row>
    <row r="363" spans="9:10">
      <c r="I363" s="3" t="str">
        <f t="shared" ca="1" si="6"/>
        <v/>
      </c>
      <c r="J363" s="3" t="str">
        <f>IF(OR(F363="",A363=""),"",AND(F363&gt;=INDEX([1]Contracts!$B:$B, MATCH(A363, [1]Contracts!$A:$A, 0)), F363&lt;=INDEX([1]Contracts!$C:$C, MATCH(A363, [1]Contracts!$A:$A, 0))))</f>
        <v/>
      </c>
    </row>
    <row r="364" spans="9:10">
      <c r="I364" s="3" t="str">
        <f t="shared" ca="1" si="6"/>
        <v/>
      </c>
      <c r="J364" s="3" t="str">
        <f>IF(OR(F364="",A364=""),"",AND(F364&gt;=INDEX([1]Contracts!$B:$B, MATCH(A364, [1]Contracts!$A:$A, 0)), F364&lt;=INDEX([1]Contracts!$C:$C, MATCH(A364, [1]Contracts!$A:$A, 0))))</f>
        <v/>
      </c>
    </row>
    <row r="365" spans="9:10">
      <c r="I365" s="3" t="str">
        <f t="shared" ca="1" si="6"/>
        <v/>
      </c>
      <c r="J365" s="3" t="str">
        <f>IF(OR(F365="",A365=""),"",AND(F365&gt;=INDEX([1]Contracts!$B:$B, MATCH(A365, [1]Contracts!$A:$A, 0)), F365&lt;=INDEX([1]Contracts!$C:$C, MATCH(A365, [1]Contracts!$A:$A, 0))))</f>
        <v/>
      </c>
    </row>
    <row r="366" spans="9:10">
      <c r="I366" s="3" t="str">
        <f t="shared" ca="1" si="6"/>
        <v/>
      </c>
      <c r="J366" s="3" t="str">
        <f>IF(OR(F366="",A366=""),"",AND(F366&gt;=INDEX([1]Contracts!$B:$B, MATCH(A366, [1]Contracts!$A:$A, 0)), F366&lt;=INDEX([1]Contracts!$C:$C, MATCH(A366, [1]Contracts!$A:$A, 0))))</f>
        <v/>
      </c>
    </row>
    <row r="367" spans="9:10">
      <c r="I367" s="3" t="str">
        <f t="shared" ca="1" si="6"/>
        <v/>
      </c>
      <c r="J367" s="3" t="str">
        <f>IF(OR(F367="",A367=""),"",AND(F367&gt;=INDEX([1]Contracts!$B:$B, MATCH(A367, [1]Contracts!$A:$A, 0)), F367&lt;=INDEX([1]Contracts!$C:$C, MATCH(A367, [1]Contracts!$A:$A, 0))))</f>
        <v/>
      </c>
    </row>
    <row r="368" spans="9:10">
      <c r="I368" s="3" t="str">
        <f t="shared" ca="1" si="6"/>
        <v/>
      </c>
      <c r="J368" s="3" t="str">
        <f>IF(OR(F368="",A368=""),"",AND(F368&gt;=INDEX([1]Contracts!$B:$B, MATCH(A368, [1]Contracts!$A:$A, 0)), F368&lt;=INDEX([1]Contracts!$C:$C, MATCH(A368, [1]Contracts!$A:$A, 0))))</f>
        <v/>
      </c>
    </row>
    <row r="369" spans="9:10">
      <c r="I369" s="3" t="str">
        <f t="shared" ca="1" si="6"/>
        <v/>
      </c>
      <c r="J369" s="3" t="str">
        <f>IF(OR(F369="",A369=""),"",AND(F369&gt;=INDEX([1]Contracts!$B:$B, MATCH(A369, [1]Contracts!$A:$A, 0)), F369&lt;=INDEX([1]Contracts!$C:$C, MATCH(A369, [1]Contracts!$A:$A, 0))))</f>
        <v/>
      </c>
    </row>
    <row r="370" spans="9:10">
      <c r="I370" s="3" t="str">
        <f t="shared" ca="1" si="6"/>
        <v/>
      </c>
      <c r="J370" s="3" t="str">
        <f>IF(OR(F370="",A370=""),"",AND(F370&gt;=INDEX([1]Contracts!$B:$B, MATCH(A370, [1]Contracts!$A:$A, 0)), F370&lt;=INDEX([1]Contracts!$C:$C, MATCH(A370, [1]Contracts!$A:$A, 0))))</f>
        <v/>
      </c>
    </row>
    <row r="371" spans="9:10">
      <c r="I371" s="3" t="str">
        <f t="shared" ca="1" si="6"/>
        <v/>
      </c>
      <c r="J371" s="3" t="str">
        <f>IF(OR(F371="",A371=""),"",AND(F371&gt;=INDEX([1]Contracts!$B:$B, MATCH(A371, [1]Contracts!$A:$A, 0)), F371&lt;=INDEX([1]Contracts!$C:$C, MATCH(A371, [1]Contracts!$A:$A, 0))))</f>
        <v/>
      </c>
    </row>
    <row r="372" spans="9:10">
      <c r="I372" s="3" t="str">
        <f t="shared" ca="1" si="6"/>
        <v/>
      </c>
      <c r="J372" s="3" t="str">
        <f>IF(OR(F372="",A372=""),"",AND(F372&gt;=INDEX([1]Contracts!$B:$B, MATCH(A372, [1]Contracts!$A:$A, 0)), F372&lt;=INDEX([1]Contracts!$C:$C, MATCH(A372, [1]Contracts!$A:$A, 0))))</f>
        <v/>
      </c>
    </row>
    <row r="373" spans="9:10">
      <c r="I373" s="3" t="str">
        <f t="shared" ca="1" si="6"/>
        <v/>
      </c>
      <c r="J373" s="3" t="str">
        <f>IF(OR(F373="",A373=""),"",AND(F373&gt;=INDEX([1]Contracts!$B:$B, MATCH(A373, [1]Contracts!$A:$A, 0)), F373&lt;=INDEX([1]Contracts!$C:$C, MATCH(A373, [1]Contracts!$A:$A, 0))))</f>
        <v/>
      </c>
    </row>
    <row r="374" spans="9:10">
      <c r="I374" s="3" t="str">
        <f t="shared" ca="1" si="6"/>
        <v/>
      </c>
      <c r="J374" s="3" t="str">
        <f>IF(OR(F374="",A374=""),"",AND(F374&gt;=INDEX([1]Contracts!$B:$B, MATCH(A374, [1]Contracts!$A:$A, 0)), F374&lt;=INDEX([1]Contracts!$C:$C, MATCH(A374, [1]Contracts!$A:$A, 0))))</f>
        <v/>
      </c>
    </row>
    <row r="375" spans="9:10">
      <c r="I375" s="3" t="str">
        <f t="shared" ca="1" si="6"/>
        <v/>
      </c>
      <c r="J375" s="3" t="str">
        <f>IF(OR(F375="",A375=""),"",AND(F375&gt;=INDEX([1]Contracts!$B:$B, MATCH(A375, [1]Contracts!$A:$A, 0)), F375&lt;=INDEX([1]Contracts!$C:$C, MATCH(A375, [1]Contracts!$A:$A, 0))))</f>
        <v/>
      </c>
    </row>
    <row r="376" spans="9:10">
      <c r="I376" s="3" t="str">
        <f t="shared" ca="1" si="6"/>
        <v/>
      </c>
      <c r="J376" s="3" t="str">
        <f>IF(OR(F376="",A376=""),"",AND(F376&gt;=INDEX([1]Contracts!$B:$B, MATCH(A376, [1]Contracts!$A:$A, 0)), F376&lt;=INDEX([1]Contracts!$C:$C, MATCH(A376, [1]Contracts!$A:$A, 0))))</f>
        <v/>
      </c>
    </row>
    <row r="377" spans="9:10">
      <c r="I377" s="3" t="str">
        <f t="shared" ca="1" si="6"/>
        <v/>
      </c>
      <c r="J377" s="3" t="str">
        <f>IF(OR(F377="",A377=""),"",AND(F377&gt;=INDEX([1]Contracts!$B:$B, MATCH(A377, [1]Contracts!$A:$A, 0)), F377&lt;=INDEX([1]Contracts!$C:$C, MATCH(A377, [1]Contracts!$A:$A, 0))))</f>
        <v/>
      </c>
    </row>
    <row r="378" spans="9:10">
      <c r="I378" s="3" t="str">
        <f t="shared" ca="1" si="6"/>
        <v/>
      </c>
      <c r="J378" s="3" t="str">
        <f>IF(OR(F378="",A378=""),"",AND(F378&gt;=INDEX([1]Contracts!$B:$B, MATCH(A378, [1]Contracts!$A:$A, 0)), F378&lt;=INDEX([1]Contracts!$C:$C, MATCH(A378, [1]Contracts!$A:$A, 0))))</f>
        <v/>
      </c>
    </row>
    <row r="379" spans="9:10">
      <c r="I379" s="3" t="str">
        <f t="shared" ca="1" si="6"/>
        <v/>
      </c>
      <c r="J379" s="3" t="str">
        <f>IF(OR(F379="",A379=""),"",AND(F379&gt;=INDEX([1]Contracts!$B:$B, MATCH(A379, [1]Contracts!$A:$A, 0)), F379&lt;=INDEX([1]Contracts!$C:$C, MATCH(A379, [1]Contracts!$A:$A, 0))))</f>
        <v/>
      </c>
    </row>
    <row r="380" spans="9:10">
      <c r="I380" s="3" t="str">
        <f t="shared" ca="1" si="6"/>
        <v/>
      </c>
      <c r="J380" s="3" t="str">
        <f>IF(OR(F380="",A380=""),"",AND(F380&gt;=INDEX([1]Contracts!$B:$B, MATCH(A380, [1]Contracts!$A:$A, 0)), F380&lt;=INDEX([1]Contracts!$C:$C, MATCH(A380, [1]Contracts!$A:$A, 0))))</f>
        <v/>
      </c>
    </row>
    <row r="381" spans="9:10">
      <c r="I381" s="3" t="str">
        <f t="shared" ca="1" si="6"/>
        <v/>
      </c>
      <c r="J381" s="3" t="str">
        <f>IF(OR(F381="",A381=""),"",AND(F381&gt;=INDEX([1]Contracts!$B:$B, MATCH(A381, [1]Contracts!$A:$A, 0)), F381&lt;=INDEX([1]Contracts!$C:$C, MATCH(A381, [1]Contracts!$A:$A, 0))))</f>
        <v/>
      </c>
    </row>
    <row r="382" spans="9:10">
      <c r="I382" s="3" t="str">
        <f t="shared" ca="1" si="6"/>
        <v/>
      </c>
      <c r="J382" s="3" t="str">
        <f>IF(OR(F382="",A382=""),"",AND(F382&gt;=INDEX([1]Contracts!$B:$B, MATCH(A382, [1]Contracts!$A:$A, 0)), F382&lt;=INDEX([1]Contracts!$C:$C, MATCH(A382, [1]Contracts!$A:$A, 0))))</f>
        <v/>
      </c>
    </row>
    <row r="383" spans="9:10">
      <c r="I383" s="3" t="str">
        <f t="shared" ca="1" si="6"/>
        <v/>
      </c>
      <c r="J383" s="3" t="str">
        <f>IF(OR(F383="",A383=""),"",AND(F383&gt;=INDEX([1]Contracts!$B:$B, MATCH(A383, [1]Contracts!$A:$A, 0)), F383&lt;=INDEX([1]Contracts!$C:$C, MATCH(A383, [1]Contracts!$A:$A, 0))))</f>
        <v/>
      </c>
    </row>
    <row r="384" spans="9:10">
      <c r="I384" s="3" t="str">
        <f t="shared" ca="1" si="6"/>
        <v/>
      </c>
      <c r="J384" s="3" t="str">
        <f>IF(OR(F384="",A384=""),"",AND(F384&gt;=INDEX([1]Contracts!$B:$B, MATCH(A384, [1]Contracts!$A:$A, 0)), F384&lt;=INDEX([1]Contracts!$C:$C, MATCH(A384, [1]Contracts!$A:$A, 0))))</f>
        <v/>
      </c>
    </row>
    <row r="385" spans="9:10">
      <c r="I385" s="3" t="str">
        <f t="shared" ca="1" si="6"/>
        <v/>
      </c>
      <c r="J385" s="3" t="str">
        <f>IF(OR(F385="",A385=""),"",AND(F385&gt;=INDEX([1]Contracts!$B:$B, MATCH(A385, [1]Contracts!$A:$A, 0)), F385&lt;=INDEX([1]Contracts!$C:$C, MATCH(A385, [1]Contracts!$A:$A, 0))))</f>
        <v/>
      </c>
    </row>
    <row r="386" spans="9:10">
      <c r="I386" s="3" t="str">
        <f t="shared" ca="1" si="6"/>
        <v/>
      </c>
      <c r="J386" s="3" t="str">
        <f>IF(OR(F386="",A386=""),"",AND(F386&gt;=INDEX([1]Contracts!$B:$B, MATCH(A386, [1]Contracts!$A:$A, 0)), F386&lt;=INDEX([1]Contracts!$C:$C, MATCH(A386, [1]Contracts!$A:$A, 0))))</f>
        <v/>
      </c>
    </row>
    <row r="387" spans="9:10">
      <c r="I387" s="3" t="str">
        <f t="shared" ca="1" si="6"/>
        <v/>
      </c>
      <c r="J387" s="3" t="str">
        <f>IF(OR(F387="",A387=""),"",AND(F387&gt;=INDEX([1]Contracts!$B:$B, MATCH(A387, [1]Contracts!$A:$A, 0)), F387&lt;=INDEX([1]Contracts!$C:$C, MATCH(A387, [1]Contracts!$A:$A, 0))))</f>
        <v/>
      </c>
    </row>
    <row r="388" spans="9:10">
      <c r="I388" s="3" t="str">
        <f t="shared" ca="1" si="6"/>
        <v/>
      </c>
      <c r="J388" s="3" t="str">
        <f>IF(OR(F388="",A388=""),"",AND(F388&gt;=INDEX([1]Contracts!$B:$B, MATCH(A388, [1]Contracts!$A:$A, 0)), F388&lt;=INDEX([1]Contracts!$C:$C, MATCH(A388, [1]Contracts!$A:$A, 0))))</f>
        <v/>
      </c>
    </row>
    <row r="389" spans="9:10">
      <c r="I389" s="3" t="str">
        <f t="shared" ca="1" si="6"/>
        <v/>
      </c>
      <c r="J389" s="3" t="str">
        <f>IF(OR(F389="",A389=""),"",AND(F389&gt;=INDEX([1]Contracts!$B:$B, MATCH(A389, [1]Contracts!$A:$A, 0)), F389&lt;=INDEX([1]Contracts!$C:$C, MATCH(A389, [1]Contracts!$A:$A, 0))))</f>
        <v/>
      </c>
    </row>
    <row r="390" spans="9:10">
      <c r="I390" s="3" t="str">
        <f t="shared" ca="1" si="6"/>
        <v/>
      </c>
      <c r="J390" s="3" t="str">
        <f>IF(OR(F390="",A390=""),"",AND(F390&gt;=INDEX([1]Contracts!$B:$B, MATCH(A390, [1]Contracts!$A:$A, 0)), F390&lt;=INDEX([1]Contracts!$C:$C, MATCH(A390, [1]Contracts!$A:$A, 0))))</f>
        <v/>
      </c>
    </row>
    <row r="391" spans="9:10">
      <c r="I391" s="3" t="str">
        <f t="shared" ca="1" si="6"/>
        <v/>
      </c>
      <c r="J391" s="3" t="str">
        <f>IF(OR(F391="",A391=""),"",AND(F391&gt;=INDEX([1]Contracts!$B:$B, MATCH(A391, [1]Contracts!$A:$A, 0)), F391&lt;=INDEX([1]Contracts!$C:$C, MATCH(A391, [1]Contracts!$A:$A, 0))))</f>
        <v/>
      </c>
    </row>
    <row r="392" spans="9:10">
      <c r="I392" s="3" t="str">
        <f t="shared" ref="I392:I455" ca="1" si="7">IF(F392="","",F392-TODAY())</f>
        <v/>
      </c>
      <c r="J392" s="3" t="str">
        <f>IF(OR(F392="",A392=""),"",AND(F392&gt;=INDEX([1]Contracts!$B:$B, MATCH(A392, [1]Contracts!$A:$A, 0)), F392&lt;=INDEX([1]Contracts!$C:$C, MATCH(A392, [1]Contracts!$A:$A, 0))))</f>
        <v/>
      </c>
    </row>
    <row r="393" spans="9:10">
      <c r="I393" s="3" t="str">
        <f t="shared" ca="1" si="7"/>
        <v/>
      </c>
      <c r="J393" s="3" t="str">
        <f>IF(OR(F393="",A393=""),"",AND(F393&gt;=INDEX([1]Contracts!$B:$B, MATCH(A393, [1]Contracts!$A:$A, 0)), F393&lt;=INDEX([1]Contracts!$C:$C, MATCH(A393, [1]Contracts!$A:$A, 0))))</f>
        <v/>
      </c>
    </row>
    <row r="394" spans="9:10">
      <c r="I394" s="3" t="str">
        <f t="shared" ca="1" si="7"/>
        <v/>
      </c>
      <c r="J394" s="3" t="str">
        <f>IF(OR(F394="",A394=""),"",AND(F394&gt;=INDEX([1]Contracts!$B:$B, MATCH(A394, [1]Contracts!$A:$A, 0)), F394&lt;=INDEX([1]Contracts!$C:$C, MATCH(A394, [1]Contracts!$A:$A, 0))))</f>
        <v/>
      </c>
    </row>
    <row r="395" spans="9:10">
      <c r="I395" s="3" t="str">
        <f t="shared" ca="1" si="7"/>
        <v/>
      </c>
      <c r="J395" s="3" t="str">
        <f>IF(OR(F395="",A395=""),"",AND(F395&gt;=INDEX([1]Contracts!$B:$B, MATCH(A395, [1]Contracts!$A:$A, 0)), F395&lt;=INDEX([1]Contracts!$C:$C, MATCH(A395, [1]Contracts!$A:$A, 0))))</f>
        <v/>
      </c>
    </row>
    <row r="396" spans="9:10">
      <c r="I396" s="3" t="str">
        <f t="shared" ca="1" si="7"/>
        <v/>
      </c>
      <c r="J396" s="3" t="str">
        <f>IF(OR(F396="",A396=""),"",AND(F396&gt;=INDEX([1]Contracts!$B:$B, MATCH(A396, [1]Contracts!$A:$A, 0)), F396&lt;=INDEX([1]Contracts!$C:$C, MATCH(A396, [1]Contracts!$A:$A, 0))))</f>
        <v/>
      </c>
    </row>
    <row r="397" spans="9:10">
      <c r="I397" s="3" t="str">
        <f t="shared" ca="1" si="7"/>
        <v/>
      </c>
      <c r="J397" s="3" t="str">
        <f>IF(OR(F397="",A397=""),"",AND(F397&gt;=INDEX([1]Contracts!$B:$B, MATCH(A397, [1]Contracts!$A:$A, 0)), F397&lt;=INDEX([1]Contracts!$C:$C, MATCH(A397, [1]Contracts!$A:$A, 0))))</f>
        <v/>
      </c>
    </row>
    <row r="398" spans="9:10">
      <c r="I398" s="3" t="str">
        <f t="shared" ca="1" si="7"/>
        <v/>
      </c>
      <c r="J398" s="3" t="str">
        <f>IF(OR(F398="",A398=""),"",AND(F398&gt;=INDEX([1]Contracts!$B:$B, MATCH(A398, [1]Contracts!$A:$A, 0)), F398&lt;=INDEX([1]Contracts!$C:$C, MATCH(A398, [1]Contracts!$A:$A, 0))))</f>
        <v/>
      </c>
    </row>
    <row r="399" spans="9:10">
      <c r="I399" s="3" t="str">
        <f t="shared" ca="1" si="7"/>
        <v/>
      </c>
      <c r="J399" s="3" t="str">
        <f>IF(OR(F399="",A399=""),"",AND(F399&gt;=INDEX([1]Contracts!$B:$B, MATCH(A399, [1]Contracts!$A:$A, 0)), F399&lt;=INDEX([1]Contracts!$C:$C, MATCH(A399, [1]Contracts!$A:$A, 0))))</f>
        <v/>
      </c>
    </row>
    <row r="400" spans="9:10">
      <c r="I400" s="3" t="str">
        <f t="shared" ca="1" si="7"/>
        <v/>
      </c>
      <c r="J400" s="3" t="str">
        <f>IF(OR(F400="",A400=""),"",AND(F400&gt;=INDEX([1]Contracts!$B:$B, MATCH(A400, [1]Contracts!$A:$A, 0)), F400&lt;=INDEX([1]Contracts!$C:$C, MATCH(A400, [1]Contracts!$A:$A, 0))))</f>
        <v/>
      </c>
    </row>
    <row r="401" spans="9:10">
      <c r="I401" s="3" t="str">
        <f t="shared" ca="1" si="7"/>
        <v/>
      </c>
      <c r="J401" s="3" t="str">
        <f>IF(OR(F401="",A401=""),"",AND(F401&gt;=INDEX([1]Contracts!$B:$B, MATCH(A401, [1]Contracts!$A:$A, 0)), F401&lt;=INDEX([1]Contracts!$C:$C, MATCH(A401, [1]Contracts!$A:$A, 0))))</f>
        <v/>
      </c>
    </row>
    <row r="402" spans="9:10">
      <c r="I402" s="3" t="str">
        <f t="shared" ca="1" si="7"/>
        <v/>
      </c>
      <c r="J402" s="3" t="str">
        <f>IF(OR(F402="",A402=""),"",AND(F402&gt;=INDEX([1]Contracts!$B:$B, MATCH(A402, [1]Contracts!$A:$A, 0)), F402&lt;=INDEX([1]Contracts!$C:$C, MATCH(A402, [1]Contracts!$A:$A, 0))))</f>
        <v/>
      </c>
    </row>
    <row r="403" spans="9:10">
      <c r="I403" s="3" t="str">
        <f t="shared" ca="1" si="7"/>
        <v/>
      </c>
      <c r="J403" s="3" t="str">
        <f>IF(OR(F403="",A403=""),"",AND(F403&gt;=INDEX([1]Contracts!$B:$B, MATCH(A403, [1]Contracts!$A:$A, 0)), F403&lt;=INDEX([1]Contracts!$C:$C, MATCH(A403, [1]Contracts!$A:$A, 0))))</f>
        <v/>
      </c>
    </row>
    <row r="404" spans="9:10">
      <c r="I404" s="3" t="str">
        <f t="shared" ca="1" si="7"/>
        <v/>
      </c>
      <c r="J404" s="3" t="str">
        <f>IF(OR(F404="",A404=""),"",AND(F404&gt;=INDEX([1]Contracts!$B:$B, MATCH(A404, [1]Contracts!$A:$A, 0)), F404&lt;=INDEX([1]Contracts!$C:$C, MATCH(A404, [1]Contracts!$A:$A, 0))))</f>
        <v/>
      </c>
    </row>
    <row r="405" spans="9:10">
      <c r="I405" s="3" t="str">
        <f t="shared" ca="1" si="7"/>
        <v/>
      </c>
      <c r="J405" s="3" t="str">
        <f>IF(OR(F405="",A405=""),"",AND(F405&gt;=INDEX([1]Contracts!$B:$B, MATCH(A405, [1]Contracts!$A:$A, 0)), F405&lt;=INDEX([1]Contracts!$C:$C, MATCH(A405, [1]Contracts!$A:$A, 0))))</f>
        <v/>
      </c>
    </row>
    <row r="406" spans="9:10">
      <c r="I406" s="3" t="str">
        <f t="shared" ca="1" si="7"/>
        <v/>
      </c>
      <c r="J406" s="3" t="str">
        <f>IF(OR(F406="",A406=""),"",AND(F406&gt;=INDEX([1]Contracts!$B:$B, MATCH(A406, [1]Contracts!$A:$A, 0)), F406&lt;=INDEX([1]Contracts!$C:$C, MATCH(A406, [1]Contracts!$A:$A, 0))))</f>
        <v/>
      </c>
    </row>
    <row r="407" spans="9:10">
      <c r="I407" s="3" t="str">
        <f t="shared" ca="1" si="7"/>
        <v/>
      </c>
      <c r="J407" s="3" t="str">
        <f>IF(OR(F407="",A407=""),"",AND(F407&gt;=INDEX([1]Contracts!$B:$B, MATCH(A407, [1]Contracts!$A:$A, 0)), F407&lt;=INDEX([1]Contracts!$C:$C, MATCH(A407, [1]Contracts!$A:$A, 0))))</f>
        <v/>
      </c>
    </row>
    <row r="408" spans="9:10">
      <c r="I408" s="3" t="str">
        <f t="shared" ca="1" si="7"/>
        <v/>
      </c>
      <c r="J408" s="3" t="str">
        <f>IF(OR(F408="",A408=""),"",AND(F408&gt;=INDEX([1]Contracts!$B:$B, MATCH(A408, [1]Contracts!$A:$A, 0)), F408&lt;=INDEX([1]Contracts!$C:$C, MATCH(A408, [1]Contracts!$A:$A, 0))))</f>
        <v/>
      </c>
    </row>
    <row r="409" spans="9:10">
      <c r="I409" s="3" t="str">
        <f t="shared" ca="1" si="7"/>
        <v/>
      </c>
      <c r="J409" s="3" t="str">
        <f>IF(OR(F409="",A409=""),"",AND(F409&gt;=INDEX([1]Contracts!$B:$B, MATCH(A409, [1]Contracts!$A:$A, 0)), F409&lt;=INDEX([1]Contracts!$C:$C, MATCH(A409, [1]Contracts!$A:$A, 0))))</f>
        <v/>
      </c>
    </row>
    <row r="410" spans="9:10">
      <c r="I410" s="3" t="str">
        <f t="shared" ca="1" si="7"/>
        <v/>
      </c>
      <c r="J410" s="3" t="str">
        <f>IF(OR(F410="",A410=""),"",AND(F410&gt;=INDEX([1]Contracts!$B:$B, MATCH(A410, [1]Contracts!$A:$A, 0)), F410&lt;=INDEX([1]Contracts!$C:$C, MATCH(A410, [1]Contracts!$A:$A, 0))))</f>
        <v/>
      </c>
    </row>
    <row r="411" spans="9:10">
      <c r="I411" s="3" t="str">
        <f t="shared" ca="1" si="7"/>
        <v/>
      </c>
      <c r="J411" s="3" t="str">
        <f>IF(OR(F411="",A411=""),"",AND(F411&gt;=INDEX([1]Contracts!$B:$B, MATCH(A411, [1]Contracts!$A:$A, 0)), F411&lt;=INDEX([1]Contracts!$C:$C, MATCH(A411, [1]Contracts!$A:$A, 0))))</f>
        <v/>
      </c>
    </row>
    <row r="412" spans="9:10">
      <c r="I412" s="3" t="str">
        <f t="shared" ca="1" si="7"/>
        <v/>
      </c>
      <c r="J412" s="3" t="str">
        <f>IF(OR(F412="",A412=""),"",AND(F412&gt;=INDEX([1]Contracts!$B:$B, MATCH(A412, [1]Contracts!$A:$A, 0)), F412&lt;=INDEX([1]Contracts!$C:$C, MATCH(A412, [1]Contracts!$A:$A, 0))))</f>
        <v/>
      </c>
    </row>
    <row r="413" spans="9:10">
      <c r="I413" s="3" t="str">
        <f t="shared" ca="1" si="7"/>
        <v/>
      </c>
      <c r="J413" s="3" t="str">
        <f>IF(OR(F413="",A413=""),"",AND(F413&gt;=INDEX([1]Contracts!$B:$B, MATCH(A413, [1]Contracts!$A:$A, 0)), F413&lt;=INDEX([1]Contracts!$C:$C, MATCH(A413, [1]Contracts!$A:$A, 0))))</f>
        <v/>
      </c>
    </row>
    <row r="414" spans="9:10">
      <c r="I414" s="3" t="str">
        <f t="shared" ca="1" si="7"/>
        <v/>
      </c>
      <c r="J414" s="3" t="str">
        <f>IF(OR(F414="",A414=""),"",AND(F414&gt;=INDEX([1]Contracts!$B:$B, MATCH(A414, [1]Contracts!$A:$A, 0)), F414&lt;=INDEX([1]Contracts!$C:$C, MATCH(A414, [1]Contracts!$A:$A, 0))))</f>
        <v/>
      </c>
    </row>
    <row r="415" spans="9:10">
      <c r="I415" s="3" t="str">
        <f t="shared" ca="1" si="7"/>
        <v/>
      </c>
      <c r="J415" s="3" t="str">
        <f>IF(OR(F415="",A415=""),"",AND(F415&gt;=INDEX([1]Contracts!$B:$B, MATCH(A415, [1]Contracts!$A:$A, 0)), F415&lt;=INDEX([1]Contracts!$C:$C, MATCH(A415, [1]Contracts!$A:$A, 0))))</f>
        <v/>
      </c>
    </row>
    <row r="416" spans="9:10">
      <c r="I416" s="3" t="str">
        <f t="shared" ca="1" si="7"/>
        <v/>
      </c>
      <c r="J416" s="3" t="str">
        <f>IF(OR(F416="",A416=""),"",AND(F416&gt;=INDEX([1]Contracts!$B:$B, MATCH(A416, [1]Contracts!$A:$A, 0)), F416&lt;=INDEX([1]Contracts!$C:$C, MATCH(A416, [1]Contracts!$A:$A, 0))))</f>
        <v/>
      </c>
    </row>
    <row r="417" spans="9:10">
      <c r="I417" s="3" t="str">
        <f t="shared" ca="1" si="7"/>
        <v/>
      </c>
      <c r="J417" s="3" t="str">
        <f>IF(OR(F417="",A417=""),"",AND(F417&gt;=INDEX([1]Contracts!$B:$B, MATCH(A417, [1]Contracts!$A:$A, 0)), F417&lt;=INDEX([1]Contracts!$C:$C, MATCH(A417, [1]Contracts!$A:$A, 0))))</f>
        <v/>
      </c>
    </row>
    <row r="418" spans="9:10">
      <c r="I418" s="3" t="str">
        <f t="shared" ca="1" si="7"/>
        <v/>
      </c>
      <c r="J418" s="3" t="str">
        <f>IF(OR(F418="",A418=""),"",AND(F418&gt;=INDEX([1]Contracts!$B:$B, MATCH(A418, [1]Contracts!$A:$A, 0)), F418&lt;=INDEX([1]Contracts!$C:$C, MATCH(A418, [1]Contracts!$A:$A, 0))))</f>
        <v/>
      </c>
    </row>
    <row r="419" spans="9:10">
      <c r="I419" s="3" t="str">
        <f t="shared" ca="1" si="7"/>
        <v/>
      </c>
      <c r="J419" s="3" t="str">
        <f>IF(OR(F419="",A419=""),"",AND(F419&gt;=INDEX([1]Contracts!$B:$B, MATCH(A419, [1]Contracts!$A:$A, 0)), F419&lt;=INDEX([1]Contracts!$C:$C, MATCH(A419, [1]Contracts!$A:$A, 0))))</f>
        <v/>
      </c>
    </row>
    <row r="420" spans="9:10">
      <c r="I420" s="3" t="str">
        <f t="shared" ca="1" si="7"/>
        <v/>
      </c>
      <c r="J420" s="3" t="str">
        <f>IF(OR(F420="",A420=""),"",AND(F420&gt;=INDEX([1]Contracts!$B:$B, MATCH(A420, [1]Contracts!$A:$A, 0)), F420&lt;=INDEX([1]Contracts!$C:$C, MATCH(A420, [1]Contracts!$A:$A, 0))))</f>
        <v/>
      </c>
    </row>
    <row r="421" spans="9:10">
      <c r="I421" s="3" t="str">
        <f t="shared" ca="1" si="7"/>
        <v/>
      </c>
      <c r="J421" s="3" t="str">
        <f>IF(OR(F421="",A421=""),"",AND(F421&gt;=INDEX([1]Contracts!$B:$B, MATCH(A421, [1]Contracts!$A:$A, 0)), F421&lt;=INDEX([1]Contracts!$C:$C, MATCH(A421, [1]Contracts!$A:$A, 0))))</f>
        <v/>
      </c>
    </row>
    <row r="422" spans="9:10">
      <c r="I422" s="3" t="str">
        <f t="shared" ca="1" si="7"/>
        <v/>
      </c>
      <c r="J422" s="3" t="str">
        <f>IF(OR(F422="",A422=""),"",AND(F422&gt;=INDEX([1]Contracts!$B:$B, MATCH(A422, [1]Contracts!$A:$A, 0)), F422&lt;=INDEX([1]Contracts!$C:$C, MATCH(A422, [1]Contracts!$A:$A, 0))))</f>
        <v/>
      </c>
    </row>
    <row r="423" spans="9:10">
      <c r="I423" s="3" t="str">
        <f t="shared" ca="1" si="7"/>
        <v/>
      </c>
      <c r="J423" s="3" t="str">
        <f>IF(OR(F423="",A423=""),"",AND(F423&gt;=INDEX([1]Contracts!$B:$B, MATCH(A423, [1]Contracts!$A:$A, 0)), F423&lt;=INDEX([1]Contracts!$C:$C, MATCH(A423, [1]Contracts!$A:$A, 0))))</f>
        <v/>
      </c>
    </row>
    <row r="424" spans="9:10">
      <c r="I424" s="3" t="str">
        <f t="shared" ca="1" si="7"/>
        <v/>
      </c>
      <c r="J424" s="3" t="str">
        <f>IF(OR(F424="",A424=""),"",AND(F424&gt;=INDEX([1]Contracts!$B:$B, MATCH(A424, [1]Contracts!$A:$A, 0)), F424&lt;=INDEX([1]Contracts!$C:$C, MATCH(A424, [1]Contracts!$A:$A, 0))))</f>
        <v/>
      </c>
    </row>
    <row r="425" spans="9:10">
      <c r="I425" s="3" t="str">
        <f t="shared" ca="1" si="7"/>
        <v/>
      </c>
      <c r="J425" s="3" t="str">
        <f>IF(OR(F425="",A425=""),"",AND(F425&gt;=INDEX([1]Contracts!$B:$B, MATCH(A425, [1]Contracts!$A:$A, 0)), F425&lt;=INDEX([1]Contracts!$C:$C, MATCH(A425, [1]Contracts!$A:$A, 0))))</f>
        <v/>
      </c>
    </row>
    <row r="426" spans="9:10">
      <c r="I426" s="3" t="str">
        <f t="shared" ca="1" si="7"/>
        <v/>
      </c>
      <c r="J426" s="3" t="str">
        <f>IF(OR(F426="",A426=""),"",AND(F426&gt;=INDEX([1]Contracts!$B:$B, MATCH(A426, [1]Contracts!$A:$A, 0)), F426&lt;=INDEX([1]Contracts!$C:$C, MATCH(A426, [1]Contracts!$A:$A, 0))))</f>
        <v/>
      </c>
    </row>
    <row r="427" spans="9:10">
      <c r="I427" s="3" t="str">
        <f t="shared" ca="1" si="7"/>
        <v/>
      </c>
      <c r="J427" s="3" t="str">
        <f>IF(OR(F427="",A427=""),"",AND(F427&gt;=INDEX([1]Contracts!$B:$B, MATCH(A427, [1]Contracts!$A:$A, 0)), F427&lt;=INDEX([1]Contracts!$C:$C, MATCH(A427, [1]Contracts!$A:$A, 0))))</f>
        <v/>
      </c>
    </row>
    <row r="428" spans="9:10">
      <c r="I428" s="3" t="str">
        <f t="shared" ca="1" si="7"/>
        <v/>
      </c>
      <c r="J428" s="3" t="str">
        <f>IF(OR(F428="",A428=""),"",AND(F428&gt;=INDEX([1]Contracts!$B:$B, MATCH(A428, [1]Contracts!$A:$A, 0)), F428&lt;=INDEX([1]Contracts!$C:$C, MATCH(A428, [1]Contracts!$A:$A, 0))))</f>
        <v/>
      </c>
    </row>
    <row r="429" spans="9:10">
      <c r="I429" s="3" t="str">
        <f t="shared" ca="1" si="7"/>
        <v/>
      </c>
      <c r="J429" s="3" t="str">
        <f>IF(OR(F429="",A429=""),"",AND(F429&gt;=INDEX([1]Contracts!$B:$B, MATCH(A429, [1]Contracts!$A:$A, 0)), F429&lt;=INDEX([1]Contracts!$C:$C, MATCH(A429, [1]Contracts!$A:$A, 0))))</f>
        <v/>
      </c>
    </row>
    <row r="430" spans="9:10">
      <c r="I430" s="3" t="str">
        <f t="shared" ca="1" si="7"/>
        <v/>
      </c>
      <c r="J430" s="3" t="str">
        <f>IF(OR(F430="",A430=""),"",AND(F430&gt;=INDEX([1]Contracts!$B:$B, MATCH(A430, [1]Contracts!$A:$A, 0)), F430&lt;=INDEX([1]Contracts!$C:$C, MATCH(A430, [1]Contracts!$A:$A, 0))))</f>
        <v/>
      </c>
    </row>
    <row r="431" spans="9:10">
      <c r="I431" s="3" t="str">
        <f t="shared" ca="1" si="7"/>
        <v/>
      </c>
      <c r="J431" s="3" t="str">
        <f>IF(OR(F431="",A431=""),"",AND(F431&gt;=INDEX([1]Contracts!$B:$B, MATCH(A431, [1]Contracts!$A:$A, 0)), F431&lt;=INDEX([1]Contracts!$C:$C, MATCH(A431, [1]Contracts!$A:$A, 0))))</f>
        <v/>
      </c>
    </row>
    <row r="432" spans="9:10">
      <c r="I432" s="3" t="str">
        <f t="shared" ca="1" si="7"/>
        <v/>
      </c>
      <c r="J432" s="3" t="str">
        <f>IF(OR(F432="",A432=""),"",AND(F432&gt;=INDEX([1]Contracts!$B:$B, MATCH(A432, [1]Contracts!$A:$A, 0)), F432&lt;=INDEX([1]Contracts!$C:$C, MATCH(A432, [1]Contracts!$A:$A, 0))))</f>
        <v/>
      </c>
    </row>
    <row r="433" spans="9:10">
      <c r="I433" s="3" t="str">
        <f t="shared" ca="1" si="7"/>
        <v/>
      </c>
      <c r="J433" s="3" t="str">
        <f>IF(OR(F433="",A433=""),"",AND(F433&gt;=INDEX([1]Contracts!$B:$B, MATCH(A433, [1]Contracts!$A:$A, 0)), F433&lt;=INDEX([1]Contracts!$C:$C, MATCH(A433, [1]Contracts!$A:$A, 0))))</f>
        <v/>
      </c>
    </row>
    <row r="434" spans="9:10">
      <c r="I434" s="3" t="str">
        <f t="shared" ca="1" si="7"/>
        <v/>
      </c>
      <c r="J434" s="3" t="str">
        <f>IF(OR(F434="",A434=""),"",AND(F434&gt;=INDEX([1]Contracts!$B:$B, MATCH(A434, [1]Contracts!$A:$A, 0)), F434&lt;=INDEX([1]Contracts!$C:$C, MATCH(A434, [1]Contracts!$A:$A, 0))))</f>
        <v/>
      </c>
    </row>
    <row r="435" spans="9:10">
      <c r="I435" s="3" t="str">
        <f t="shared" ca="1" si="7"/>
        <v/>
      </c>
      <c r="J435" s="3" t="str">
        <f>IF(OR(F435="",A435=""),"",AND(F435&gt;=INDEX([1]Contracts!$B:$B, MATCH(A435, [1]Contracts!$A:$A, 0)), F435&lt;=INDEX([1]Contracts!$C:$C, MATCH(A435, [1]Contracts!$A:$A, 0))))</f>
        <v/>
      </c>
    </row>
    <row r="436" spans="9:10">
      <c r="I436" s="3" t="str">
        <f t="shared" ca="1" si="7"/>
        <v/>
      </c>
      <c r="J436" s="3" t="str">
        <f>IF(OR(F436="",A436=""),"",AND(F436&gt;=INDEX([1]Contracts!$B:$B, MATCH(A436, [1]Contracts!$A:$A, 0)), F436&lt;=INDEX([1]Contracts!$C:$C, MATCH(A436, [1]Contracts!$A:$A, 0))))</f>
        <v/>
      </c>
    </row>
    <row r="437" spans="9:10">
      <c r="I437" s="3" t="str">
        <f t="shared" ca="1" si="7"/>
        <v/>
      </c>
      <c r="J437" s="3" t="str">
        <f>IF(OR(F437="",A437=""),"",AND(F437&gt;=INDEX([1]Contracts!$B:$B, MATCH(A437, [1]Contracts!$A:$A, 0)), F437&lt;=INDEX([1]Contracts!$C:$C, MATCH(A437, [1]Contracts!$A:$A, 0))))</f>
        <v/>
      </c>
    </row>
    <row r="438" spans="9:10">
      <c r="I438" s="3" t="str">
        <f t="shared" ca="1" si="7"/>
        <v/>
      </c>
      <c r="J438" s="3" t="str">
        <f>IF(OR(F438="",A438=""),"",AND(F438&gt;=INDEX([1]Contracts!$B:$B, MATCH(A438, [1]Contracts!$A:$A, 0)), F438&lt;=INDEX([1]Contracts!$C:$C, MATCH(A438, [1]Contracts!$A:$A, 0))))</f>
        <v/>
      </c>
    </row>
    <row r="439" spans="9:10">
      <c r="I439" s="3" t="str">
        <f t="shared" ca="1" si="7"/>
        <v/>
      </c>
      <c r="J439" s="3" t="str">
        <f>IF(OR(F439="",A439=""),"",AND(F439&gt;=INDEX([1]Contracts!$B:$B, MATCH(A439, [1]Contracts!$A:$A, 0)), F439&lt;=INDEX([1]Contracts!$C:$C, MATCH(A439, [1]Contracts!$A:$A, 0))))</f>
        <v/>
      </c>
    </row>
    <row r="440" spans="9:10">
      <c r="I440" s="3" t="str">
        <f t="shared" ca="1" si="7"/>
        <v/>
      </c>
      <c r="J440" s="3" t="str">
        <f>IF(OR(F440="",A440=""),"",AND(F440&gt;=INDEX([1]Contracts!$B:$B, MATCH(A440, [1]Contracts!$A:$A, 0)), F440&lt;=INDEX([1]Contracts!$C:$C, MATCH(A440, [1]Contracts!$A:$A, 0))))</f>
        <v/>
      </c>
    </row>
    <row r="441" spans="9:10">
      <c r="I441" s="3" t="str">
        <f t="shared" ca="1" si="7"/>
        <v/>
      </c>
      <c r="J441" s="3" t="str">
        <f>IF(OR(F441="",A441=""),"",AND(F441&gt;=INDEX([1]Contracts!$B:$B, MATCH(A441, [1]Contracts!$A:$A, 0)), F441&lt;=INDEX([1]Contracts!$C:$C, MATCH(A441, [1]Contracts!$A:$A, 0))))</f>
        <v/>
      </c>
    </row>
    <row r="442" spans="9:10">
      <c r="I442" s="3" t="str">
        <f t="shared" ca="1" si="7"/>
        <v/>
      </c>
      <c r="J442" s="3" t="str">
        <f>IF(OR(F442="",A442=""),"",AND(F442&gt;=INDEX([1]Contracts!$B:$B, MATCH(A442, [1]Contracts!$A:$A, 0)), F442&lt;=INDEX([1]Contracts!$C:$C, MATCH(A442, [1]Contracts!$A:$A, 0))))</f>
        <v/>
      </c>
    </row>
    <row r="443" spans="9:10">
      <c r="I443" s="3" t="str">
        <f t="shared" ca="1" si="7"/>
        <v/>
      </c>
      <c r="J443" s="3" t="str">
        <f>IF(OR(F443="",A443=""),"",AND(F443&gt;=INDEX([1]Contracts!$B:$B, MATCH(A443, [1]Contracts!$A:$A, 0)), F443&lt;=INDEX([1]Contracts!$C:$C, MATCH(A443, [1]Contracts!$A:$A, 0))))</f>
        <v/>
      </c>
    </row>
    <row r="444" spans="9:10">
      <c r="I444" s="3" t="str">
        <f t="shared" ca="1" si="7"/>
        <v/>
      </c>
      <c r="J444" s="3" t="str">
        <f>IF(OR(F444="",A444=""),"",AND(F444&gt;=INDEX([1]Contracts!$B:$B, MATCH(A444, [1]Contracts!$A:$A, 0)), F444&lt;=INDEX([1]Contracts!$C:$C, MATCH(A444, [1]Contracts!$A:$A, 0))))</f>
        <v/>
      </c>
    </row>
    <row r="445" spans="9:10">
      <c r="I445" s="3" t="str">
        <f t="shared" ca="1" si="7"/>
        <v/>
      </c>
      <c r="J445" s="3" t="str">
        <f>IF(OR(F445="",A445=""),"",AND(F445&gt;=INDEX([1]Contracts!$B:$B, MATCH(A445, [1]Contracts!$A:$A, 0)), F445&lt;=INDEX([1]Contracts!$C:$C, MATCH(A445, [1]Contracts!$A:$A, 0))))</f>
        <v/>
      </c>
    </row>
    <row r="446" spans="9:10">
      <c r="I446" s="3" t="str">
        <f t="shared" ca="1" si="7"/>
        <v/>
      </c>
      <c r="J446" s="3" t="str">
        <f>IF(OR(F446="",A446=""),"",AND(F446&gt;=INDEX([1]Contracts!$B:$B, MATCH(A446, [1]Contracts!$A:$A, 0)), F446&lt;=INDEX([1]Contracts!$C:$C, MATCH(A446, [1]Contracts!$A:$A, 0))))</f>
        <v/>
      </c>
    </row>
    <row r="447" spans="9:10">
      <c r="I447" s="3" t="str">
        <f t="shared" ca="1" si="7"/>
        <v/>
      </c>
      <c r="J447" s="3" t="str">
        <f>IF(OR(F447="",A447=""),"",AND(F447&gt;=INDEX([1]Contracts!$B:$B, MATCH(A447, [1]Contracts!$A:$A, 0)), F447&lt;=INDEX([1]Contracts!$C:$C, MATCH(A447, [1]Contracts!$A:$A, 0))))</f>
        <v/>
      </c>
    </row>
    <row r="448" spans="9:10">
      <c r="I448" s="3" t="str">
        <f t="shared" ca="1" si="7"/>
        <v/>
      </c>
      <c r="J448" s="3" t="str">
        <f>IF(OR(F448="",A448=""),"",AND(F448&gt;=INDEX([1]Contracts!$B:$B, MATCH(A448, [1]Contracts!$A:$A, 0)), F448&lt;=INDEX([1]Contracts!$C:$C, MATCH(A448, [1]Contracts!$A:$A, 0))))</f>
        <v/>
      </c>
    </row>
    <row r="449" spans="9:10">
      <c r="I449" s="3" t="str">
        <f t="shared" ca="1" si="7"/>
        <v/>
      </c>
      <c r="J449" s="3" t="str">
        <f>IF(OR(F449="",A449=""),"",AND(F449&gt;=INDEX([1]Contracts!$B:$B, MATCH(A449, [1]Contracts!$A:$A, 0)), F449&lt;=INDEX([1]Contracts!$C:$C, MATCH(A449, [1]Contracts!$A:$A, 0))))</f>
        <v/>
      </c>
    </row>
    <row r="450" spans="9:10">
      <c r="I450" s="3" t="str">
        <f t="shared" ca="1" si="7"/>
        <v/>
      </c>
      <c r="J450" s="3" t="str">
        <f>IF(OR(F450="",A450=""),"",AND(F450&gt;=INDEX([1]Contracts!$B:$B, MATCH(A450, [1]Contracts!$A:$A, 0)), F450&lt;=INDEX([1]Contracts!$C:$C, MATCH(A450, [1]Contracts!$A:$A, 0))))</f>
        <v/>
      </c>
    </row>
    <row r="451" spans="9:10">
      <c r="I451" s="3" t="str">
        <f t="shared" ca="1" si="7"/>
        <v/>
      </c>
      <c r="J451" s="3" t="str">
        <f>IF(OR(F451="",A451=""),"",AND(F451&gt;=INDEX([1]Contracts!$B:$B, MATCH(A451, [1]Contracts!$A:$A, 0)), F451&lt;=INDEX([1]Contracts!$C:$C, MATCH(A451, [1]Contracts!$A:$A, 0))))</f>
        <v/>
      </c>
    </row>
    <row r="452" spans="9:10">
      <c r="I452" s="3" t="str">
        <f t="shared" ca="1" si="7"/>
        <v/>
      </c>
      <c r="J452" s="3" t="str">
        <f>IF(OR(F452="",A452=""),"",AND(F452&gt;=INDEX([1]Contracts!$B:$B, MATCH(A452, [1]Contracts!$A:$A, 0)), F452&lt;=INDEX([1]Contracts!$C:$C, MATCH(A452, [1]Contracts!$A:$A, 0))))</f>
        <v/>
      </c>
    </row>
    <row r="453" spans="9:10">
      <c r="I453" s="3" t="str">
        <f t="shared" ca="1" si="7"/>
        <v/>
      </c>
      <c r="J453" s="3" t="str">
        <f>IF(OR(F453="",A453=""),"",AND(F453&gt;=INDEX([1]Contracts!$B:$B, MATCH(A453, [1]Contracts!$A:$A, 0)), F453&lt;=INDEX([1]Contracts!$C:$C, MATCH(A453, [1]Contracts!$A:$A, 0))))</f>
        <v/>
      </c>
    </row>
    <row r="454" spans="9:10">
      <c r="I454" s="3" t="str">
        <f t="shared" ca="1" si="7"/>
        <v/>
      </c>
      <c r="J454" s="3" t="str">
        <f>IF(OR(F454="",A454=""),"",AND(F454&gt;=INDEX([1]Contracts!$B:$B, MATCH(A454, [1]Contracts!$A:$A, 0)), F454&lt;=INDEX([1]Contracts!$C:$C, MATCH(A454, [1]Contracts!$A:$A, 0))))</f>
        <v/>
      </c>
    </row>
    <row r="455" spans="9:10">
      <c r="I455" s="3" t="str">
        <f t="shared" ca="1" si="7"/>
        <v/>
      </c>
      <c r="J455" s="3" t="str">
        <f>IF(OR(F455="",A455=""),"",AND(F455&gt;=INDEX([1]Contracts!$B:$B, MATCH(A455, [1]Contracts!$A:$A, 0)), F455&lt;=INDEX([1]Contracts!$C:$C, MATCH(A455, [1]Contracts!$A:$A, 0))))</f>
        <v/>
      </c>
    </row>
    <row r="456" spans="9:10">
      <c r="I456" s="3" t="str">
        <f t="shared" ref="I456:I519" ca="1" si="8">IF(F456="","",F456-TODAY())</f>
        <v/>
      </c>
      <c r="J456" s="3" t="str">
        <f>IF(OR(F456="",A456=""),"",AND(F456&gt;=INDEX([1]Contracts!$B:$B, MATCH(A456, [1]Contracts!$A:$A, 0)), F456&lt;=INDEX([1]Contracts!$C:$C, MATCH(A456, [1]Contracts!$A:$A, 0))))</f>
        <v/>
      </c>
    </row>
    <row r="457" spans="9:10">
      <c r="I457" s="3" t="str">
        <f t="shared" ca="1" si="8"/>
        <v/>
      </c>
      <c r="J457" s="3" t="str">
        <f>IF(OR(F457="",A457=""),"",AND(F457&gt;=INDEX([1]Contracts!$B:$B, MATCH(A457, [1]Contracts!$A:$A, 0)), F457&lt;=INDEX([1]Contracts!$C:$C, MATCH(A457, [1]Contracts!$A:$A, 0))))</f>
        <v/>
      </c>
    </row>
    <row r="458" spans="9:10">
      <c r="I458" s="3" t="str">
        <f t="shared" ca="1" si="8"/>
        <v/>
      </c>
      <c r="J458" s="3" t="str">
        <f>IF(OR(F458="",A458=""),"",AND(F458&gt;=INDEX([1]Contracts!$B:$B, MATCH(A458, [1]Contracts!$A:$A, 0)), F458&lt;=INDEX([1]Contracts!$C:$C, MATCH(A458, [1]Contracts!$A:$A, 0))))</f>
        <v/>
      </c>
    </row>
    <row r="459" spans="9:10">
      <c r="I459" s="3" t="str">
        <f t="shared" ca="1" si="8"/>
        <v/>
      </c>
      <c r="J459" s="3" t="str">
        <f>IF(OR(F459="",A459=""),"",AND(F459&gt;=INDEX([1]Contracts!$B:$B, MATCH(A459, [1]Contracts!$A:$A, 0)), F459&lt;=INDEX([1]Contracts!$C:$C, MATCH(A459, [1]Contracts!$A:$A, 0))))</f>
        <v/>
      </c>
    </row>
    <row r="460" spans="9:10">
      <c r="I460" s="3" t="str">
        <f t="shared" ca="1" si="8"/>
        <v/>
      </c>
      <c r="J460" s="3" t="str">
        <f>IF(OR(F460="",A460=""),"",AND(F460&gt;=INDEX([1]Contracts!$B:$B, MATCH(A460, [1]Contracts!$A:$A, 0)), F460&lt;=INDEX([1]Contracts!$C:$C, MATCH(A460, [1]Contracts!$A:$A, 0))))</f>
        <v/>
      </c>
    </row>
    <row r="461" spans="9:10">
      <c r="I461" s="3" t="str">
        <f t="shared" ca="1" si="8"/>
        <v/>
      </c>
      <c r="J461" s="3" t="str">
        <f>IF(OR(F461="",A461=""),"",AND(F461&gt;=INDEX([1]Contracts!$B:$B, MATCH(A461, [1]Contracts!$A:$A, 0)), F461&lt;=INDEX([1]Contracts!$C:$C, MATCH(A461, [1]Contracts!$A:$A, 0))))</f>
        <v/>
      </c>
    </row>
    <row r="462" spans="9:10">
      <c r="I462" s="3" t="str">
        <f t="shared" ca="1" si="8"/>
        <v/>
      </c>
      <c r="J462" s="3" t="str">
        <f>IF(OR(F462="",A462=""),"",AND(F462&gt;=INDEX([1]Contracts!$B:$B, MATCH(A462, [1]Contracts!$A:$A, 0)), F462&lt;=INDEX([1]Contracts!$C:$C, MATCH(A462, [1]Contracts!$A:$A, 0))))</f>
        <v/>
      </c>
    </row>
    <row r="463" spans="9:10">
      <c r="I463" s="3" t="str">
        <f t="shared" ca="1" si="8"/>
        <v/>
      </c>
      <c r="J463" s="3" t="str">
        <f>IF(OR(F463="",A463=""),"",AND(F463&gt;=INDEX([1]Contracts!$B:$B, MATCH(A463, [1]Contracts!$A:$A, 0)), F463&lt;=INDEX([1]Contracts!$C:$C, MATCH(A463, [1]Contracts!$A:$A, 0))))</f>
        <v/>
      </c>
    </row>
    <row r="464" spans="9:10">
      <c r="I464" s="3" t="str">
        <f t="shared" ca="1" si="8"/>
        <v/>
      </c>
      <c r="J464" s="3" t="str">
        <f>IF(OR(F464="",A464=""),"",AND(F464&gt;=INDEX([1]Contracts!$B:$B, MATCH(A464, [1]Contracts!$A:$A, 0)), F464&lt;=INDEX([1]Contracts!$C:$C, MATCH(A464, [1]Contracts!$A:$A, 0))))</f>
        <v/>
      </c>
    </row>
    <row r="465" spans="9:10">
      <c r="I465" s="3" t="str">
        <f t="shared" ca="1" si="8"/>
        <v/>
      </c>
      <c r="J465" s="3" t="str">
        <f>IF(OR(F465="",A465=""),"",AND(F465&gt;=INDEX([1]Contracts!$B:$B, MATCH(A465, [1]Contracts!$A:$A, 0)), F465&lt;=INDEX([1]Contracts!$C:$C, MATCH(A465, [1]Contracts!$A:$A, 0))))</f>
        <v/>
      </c>
    </row>
    <row r="466" spans="9:10">
      <c r="I466" s="3" t="str">
        <f t="shared" ca="1" si="8"/>
        <v/>
      </c>
      <c r="J466" s="3" t="str">
        <f>IF(OR(F466="",A466=""),"",AND(F466&gt;=INDEX([1]Contracts!$B:$B, MATCH(A466, [1]Contracts!$A:$A, 0)), F466&lt;=INDEX([1]Contracts!$C:$C, MATCH(A466, [1]Contracts!$A:$A, 0))))</f>
        <v/>
      </c>
    </row>
    <row r="467" spans="9:10">
      <c r="I467" s="3" t="str">
        <f t="shared" ca="1" si="8"/>
        <v/>
      </c>
      <c r="J467" s="3" t="str">
        <f>IF(OR(F467="",A467=""),"",AND(F467&gt;=INDEX([1]Contracts!$B:$B, MATCH(A467, [1]Contracts!$A:$A, 0)), F467&lt;=INDEX([1]Contracts!$C:$C, MATCH(A467, [1]Contracts!$A:$A, 0))))</f>
        <v/>
      </c>
    </row>
    <row r="468" spans="9:10">
      <c r="I468" s="3" t="str">
        <f t="shared" ca="1" si="8"/>
        <v/>
      </c>
      <c r="J468" s="3" t="str">
        <f>IF(OR(F468="",A468=""),"",AND(F468&gt;=INDEX([1]Contracts!$B:$B, MATCH(A468, [1]Contracts!$A:$A, 0)), F468&lt;=INDEX([1]Contracts!$C:$C, MATCH(A468, [1]Contracts!$A:$A, 0))))</f>
        <v/>
      </c>
    </row>
    <row r="469" spans="9:10">
      <c r="I469" s="3" t="str">
        <f t="shared" ca="1" si="8"/>
        <v/>
      </c>
      <c r="J469" s="3" t="str">
        <f>IF(OR(F469="",A469=""),"",AND(F469&gt;=INDEX([1]Contracts!$B:$B, MATCH(A469, [1]Contracts!$A:$A, 0)), F469&lt;=INDEX([1]Contracts!$C:$C, MATCH(A469, [1]Contracts!$A:$A, 0))))</f>
        <v/>
      </c>
    </row>
    <row r="470" spans="9:10">
      <c r="I470" s="3" t="str">
        <f t="shared" ca="1" si="8"/>
        <v/>
      </c>
      <c r="J470" s="3" t="str">
        <f>IF(OR(F470="",A470=""),"",AND(F470&gt;=INDEX([1]Contracts!$B:$B, MATCH(A470, [1]Contracts!$A:$A, 0)), F470&lt;=INDEX([1]Contracts!$C:$C, MATCH(A470, [1]Contracts!$A:$A, 0))))</f>
        <v/>
      </c>
    </row>
    <row r="471" spans="9:10">
      <c r="I471" s="3" t="str">
        <f t="shared" ca="1" si="8"/>
        <v/>
      </c>
      <c r="J471" s="3" t="str">
        <f>IF(OR(F471="",A471=""),"",AND(F471&gt;=INDEX([1]Contracts!$B:$B, MATCH(A471, [1]Contracts!$A:$A, 0)), F471&lt;=INDEX([1]Contracts!$C:$C, MATCH(A471, [1]Contracts!$A:$A, 0))))</f>
        <v/>
      </c>
    </row>
    <row r="472" spans="9:10">
      <c r="I472" s="3" t="str">
        <f t="shared" ca="1" si="8"/>
        <v/>
      </c>
      <c r="J472" s="3" t="str">
        <f>IF(OR(F472="",A472=""),"",AND(F472&gt;=INDEX([1]Contracts!$B:$B, MATCH(A472, [1]Contracts!$A:$A, 0)), F472&lt;=INDEX([1]Contracts!$C:$C, MATCH(A472, [1]Contracts!$A:$A, 0))))</f>
        <v/>
      </c>
    </row>
    <row r="473" spans="9:10">
      <c r="I473" s="3" t="str">
        <f t="shared" ca="1" si="8"/>
        <v/>
      </c>
      <c r="J473" s="3" t="str">
        <f>IF(OR(F473="",A473=""),"",AND(F473&gt;=INDEX([1]Contracts!$B:$B, MATCH(A473, [1]Contracts!$A:$A, 0)), F473&lt;=INDEX([1]Contracts!$C:$C, MATCH(A473, [1]Contracts!$A:$A, 0))))</f>
        <v/>
      </c>
    </row>
    <row r="474" spans="9:10">
      <c r="I474" s="3" t="str">
        <f t="shared" ca="1" si="8"/>
        <v/>
      </c>
      <c r="J474" s="3" t="str">
        <f>IF(OR(F474="",A474=""),"",AND(F474&gt;=INDEX([1]Contracts!$B:$B, MATCH(A474, [1]Contracts!$A:$A, 0)), F474&lt;=INDEX([1]Contracts!$C:$C, MATCH(A474, [1]Contracts!$A:$A, 0))))</f>
        <v/>
      </c>
    </row>
    <row r="475" spans="9:10">
      <c r="I475" s="3" t="str">
        <f t="shared" ca="1" si="8"/>
        <v/>
      </c>
      <c r="J475" s="3" t="str">
        <f>IF(OR(F475="",A475=""),"",AND(F475&gt;=INDEX([1]Contracts!$B:$B, MATCH(A475, [1]Contracts!$A:$A, 0)), F475&lt;=INDEX([1]Contracts!$C:$C, MATCH(A475, [1]Contracts!$A:$A, 0))))</f>
        <v/>
      </c>
    </row>
    <row r="476" spans="9:10">
      <c r="I476" s="3" t="str">
        <f t="shared" ca="1" si="8"/>
        <v/>
      </c>
      <c r="J476" s="3" t="str">
        <f>IF(OR(F476="",A476=""),"",AND(F476&gt;=INDEX([1]Contracts!$B:$B, MATCH(A476, [1]Contracts!$A:$A, 0)), F476&lt;=INDEX([1]Contracts!$C:$C, MATCH(A476, [1]Contracts!$A:$A, 0))))</f>
        <v/>
      </c>
    </row>
    <row r="477" spans="9:10">
      <c r="I477" s="3" t="str">
        <f t="shared" ca="1" si="8"/>
        <v/>
      </c>
      <c r="J477" s="3" t="str">
        <f>IF(OR(F477="",A477=""),"",AND(F477&gt;=INDEX([1]Contracts!$B:$B, MATCH(A477, [1]Contracts!$A:$A, 0)), F477&lt;=INDEX([1]Contracts!$C:$C, MATCH(A477, [1]Contracts!$A:$A, 0))))</f>
        <v/>
      </c>
    </row>
    <row r="478" spans="9:10">
      <c r="I478" s="3" t="str">
        <f t="shared" ca="1" si="8"/>
        <v/>
      </c>
      <c r="J478" s="3" t="str">
        <f>IF(OR(F478="",A478=""),"",AND(F478&gt;=INDEX([1]Contracts!$B:$B, MATCH(A478, [1]Contracts!$A:$A, 0)), F478&lt;=INDEX([1]Contracts!$C:$C, MATCH(A478, [1]Contracts!$A:$A, 0))))</f>
        <v/>
      </c>
    </row>
    <row r="479" spans="9:10">
      <c r="I479" s="3" t="str">
        <f t="shared" ca="1" si="8"/>
        <v/>
      </c>
      <c r="J479" s="3" t="str">
        <f>IF(OR(F479="",A479=""),"",AND(F479&gt;=INDEX([1]Contracts!$B:$B, MATCH(A479, [1]Contracts!$A:$A, 0)), F479&lt;=INDEX([1]Contracts!$C:$C, MATCH(A479, [1]Contracts!$A:$A, 0))))</f>
        <v/>
      </c>
    </row>
    <row r="480" spans="9:10">
      <c r="I480" s="3" t="str">
        <f t="shared" ca="1" si="8"/>
        <v/>
      </c>
      <c r="J480" s="3" t="str">
        <f>IF(OR(F480="",A480=""),"",AND(F480&gt;=INDEX([1]Contracts!$B:$B, MATCH(A480, [1]Contracts!$A:$A, 0)), F480&lt;=INDEX([1]Contracts!$C:$C, MATCH(A480, [1]Contracts!$A:$A, 0))))</f>
        <v/>
      </c>
    </row>
    <row r="481" spans="9:10">
      <c r="I481" s="3" t="str">
        <f t="shared" ca="1" si="8"/>
        <v/>
      </c>
      <c r="J481" s="3" t="str">
        <f>IF(OR(F481="",A481=""),"",AND(F481&gt;=INDEX([1]Contracts!$B:$B, MATCH(A481, [1]Contracts!$A:$A, 0)), F481&lt;=INDEX([1]Contracts!$C:$C, MATCH(A481, [1]Contracts!$A:$A, 0))))</f>
        <v/>
      </c>
    </row>
    <row r="482" spans="9:10">
      <c r="I482" s="3" t="str">
        <f t="shared" ca="1" si="8"/>
        <v/>
      </c>
      <c r="J482" s="3" t="str">
        <f>IF(OR(F482="",A482=""),"",AND(F482&gt;=INDEX([1]Contracts!$B:$B, MATCH(A482, [1]Contracts!$A:$A, 0)), F482&lt;=INDEX([1]Contracts!$C:$C, MATCH(A482, [1]Contracts!$A:$A, 0))))</f>
        <v/>
      </c>
    </row>
    <row r="483" spans="9:10">
      <c r="I483" s="3" t="str">
        <f t="shared" ca="1" si="8"/>
        <v/>
      </c>
      <c r="J483" s="3" t="str">
        <f>IF(OR(F483="",A483=""),"",AND(F483&gt;=INDEX([1]Contracts!$B:$B, MATCH(A483, [1]Contracts!$A:$A, 0)), F483&lt;=INDEX([1]Contracts!$C:$C, MATCH(A483, [1]Contracts!$A:$A, 0))))</f>
        <v/>
      </c>
    </row>
    <row r="484" spans="9:10">
      <c r="I484" s="3" t="str">
        <f t="shared" ca="1" si="8"/>
        <v/>
      </c>
      <c r="J484" s="3" t="str">
        <f>IF(OR(F484="",A484=""),"",AND(F484&gt;=INDEX([1]Contracts!$B:$B, MATCH(A484, [1]Contracts!$A:$A, 0)), F484&lt;=INDEX([1]Contracts!$C:$C, MATCH(A484, [1]Contracts!$A:$A, 0))))</f>
        <v/>
      </c>
    </row>
    <row r="485" spans="9:10">
      <c r="I485" s="3" t="str">
        <f t="shared" ca="1" si="8"/>
        <v/>
      </c>
      <c r="J485" s="3" t="str">
        <f>IF(OR(F485="",A485=""),"",AND(F485&gt;=INDEX([1]Contracts!$B:$B, MATCH(A485, [1]Contracts!$A:$A, 0)), F485&lt;=INDEX([1]Contracts!$C:$C, MATCH(A485, [1]Contracts!$A:$A, 0))))</f>
        <v/>
      </c>
    </row>
    <row r="486" spans="9:10">
      <c r="I486" s="3" t="str">
        <f t="shared" ca="1" si="8"/>
        <v/>
      </c>
      <c r="J486" s="3" t="str">
        <f>IF(OR(F486="",A486=""),"",AND(F486&gt;=INDEX([1]Contracts!$B:$B, MATCH(A486, [1]Contracts!$A:$A, 0)), F486&lt;=INDEX([1]Contracts!$C:$C, MATCH(A486, [1]Contracts!$A:$A, 0))))</f>
        <v/>
      </c>
    </row>
    <row r="487" spans="9:10">
      <c r="I487" s="3" t="str">
        <f t="shared" ca="1" si="8"/>
        <v/>
      </c>
      <c r="J487" s="3" t="str">
        <f>IF(OR(F487="",A487=""),"",AND(F487&gt;=INDEX([1]Contracts!$B:$B, MATCH(A487, [1]Contracts!$A:$A, 0)), F487&lt;=INDEX([1]Contracts!$C:$C, MATCH(A487, [1]Contracts!$A:$A, 0))))</f>
        <v/>
      </c>
    </row>
    <row r="488" spans="9:10">
      <c r="I488" s="3" t="str">
        <f t="shared" ca="1" si="8"/>
        <v/>
      </c>
      <c r="J488" s="3" t="str">
        <f>IF(OR(F488="",A488=""),"",AND(F488&gt;=INDEX([1]Contracts!$B:$B, MATCH(A488, [1]Contracts!$A:$A, 0)), F488&lt;=INDEX([1]Contracts!$C:$C, MATCH(A488, [1]Contracts!$A:$A, 0))))</f>
        <v/>
      </c>
    </row>
    <row r="489" spans="9:10">
      <c r="I489" s="3" t="str">
        <f t="shared" ca="1" si="8"/>
        <v/>
      </c>
      <c r="J489" s="3" t="str">
        <f>IF(OR(F489="",A489=""),"",AND(F489&gt;=INDEX([1]Contracts!$B:$B, MATCH(A489, [1]Contracts!$A:$A, 0)), F489&lt;=INDEX([1]Contracts!$C:$C, MATCH(A489, [1]Contracts!$A:$A, 0))))</f>
        <v/>
      </c>
    </row>
    <row r="490" spans="9:10">
      <c r="I490" s="3" t="str">
        <f t="shared" ca="1" si="8"/>
        <v/>
      </c>
      <c r="J490" s="3" t="str">
        <f>IF(OR(F490="",A490=""),"",AND(F490&gt;=INDEX([1]Contracts!$B:$B, MATCH(A490, [1]Contracts!$A:$A, 0)), F490&lt;=INDEX([1]Contracts!$C:$C, MATCH(A490, [1]Contracts!$A:$A, 0))))</f>
        <v/>
      </c>
    </row>
    <row r="491" spans="9:10">
      <c r="I491" s="3" t="str">
        <f t="shared" ca="1" si="8"/>
        <v/>
      </c>
      <c r="J491" s="3" t="str">
        <f>IF(OR(F491="",A491=""),"",AND(F491&gt;=INDEX([1]Contracts!$B:$B, MATCH(A491, [1]Contracts!$A:$A, 0)), F491&lt;=INDEX([1]Contracts!$C:$C, MATCH(A491, [1]Contracts!$A:$A, 0))))</f>
        <v/>
      </c>
    </row>
    <row r="492" spans="9:10">
      <c r="I492" s="3" t="str">
        <f t="shared" ca="1" si="8"/>
        <v/>
      </c>
      <c r="J492" s="3" t="str">
        <f>IF(OR(F492="",A492=""),"",AND(F492&gt;=INDEX([1]Contracts!$B:$B, MATCH(A492, [1]Contracts!$A:$A, 0)), F492&lt;=INDEX([1]Contracts!$C:$C, MATCH(A492, [1]Contracts!$A:$A, 0))))</f>
        <v/>
      </c>
    </row>
    <row r="493" spans="9:10">
      <c r="I493" s="3" t="str">
        <f t="shared" ca="1" si="8"/>
        <v/>
      </c>
      <c r="J493" s="3" t="str">
        <f>IF(OR(F493="",A493=""),"",AND(F493&gt;=INDEX([1]Contracts!$B:$B, MATCH(A493, [1]Contracts!$A:$A, 0)), F493&lt;=INDEX([1]Contracts!$C:$C, MATCH(A493, [1]Contracts!$A:$A, 0))))</f>
        <v/>
      </c>
    </row>
    <row r="494" spans="9:10">
      <c r="I494" s="3" t="str">
        <f t="shared" ca="1" si="8"/>
        <v/>
      </c>
      <c r="J494" s="3" t="str">
        <f>IF(OR(F494="",A494=""),"",AND(F494&gt;=INDEX([1]Contracts!$B:$B, MATCH(A494, [1]Contracts!$A:$A, 0)), F494&lt;=INDEX([1]Contracts!$C:$C, MATCH(A494, [1]Contracts!$A:$A, 0))))</f>
        <v/>
      </c>
    </row>
    <row r="495" spans="9:10">
      <c r="I495" s="3" t="str">
        <f t="shared" ca="1" si="8"/>
        <v/>
      </c>
      <c r="J495" s="3" t="str">
        <f>IF(OR(F495="",A495=""),"",AND(F495&gt;=INDEX([1]Contracts!$B:$B, MATCH(A495, [1]Contracts!$A:$A, 0)), F495&lt;=INDEX([1]Contracts!$C:$C, MATCH(A495, [1]Contracts!$A:$A, 0))))</f>
        <v/>
      </c>
    </row>
    <row r="496" spans="9:10">
      <c r="I496" s="3" t="str">
        <f t="shared" ca="1" si="8"/>
        <v/>
      </c>
      <c r="J496" s="3" t="str">
        <f>IF(OR(F496="",A496=""),"",AND(F496&gt;=INDEX([1]Contracts!$B:$B, MATCH(A496, [1]Contracts!$A:$A, 0)), F496&lt;=INDEX([1]Contracts!$C:$C, MATCH(A496, [1]Contracts!$A:$A, 0))))</f>
        <v/>
      </c>
    </row>
    <row r="497" spans="9:10">
      <c r="I497" s="3" t="str">
        <f t="shared" ca="1" si="8"/>
        <v/>
      </c>
      <c r="J497" s="3" t="str">
        <f>IF(OR(F497="",A497=""),"",AND(F497&gt;=INDEX([1]Contracts!$B:$B, MATCH(A497, [1]Contracts!$A:$A, 0)), F497&lt;=INDEX([1]Contracts!$C:$C, MATCH(A497, [1]Contracts!$A:$A, 0))))</f>
        <v/>
      </c>
    </row>
    <row r="498" spans="9:10">
      <c r="I498" s="3" t="str">
        <f t="shared" ca="1" si="8"/>
        <v/>
      </c>
      <c r="J498" s="3" t="str">
        <f>IF(OR(F498="",A498=""),"",AND(F498&gt;=INDEX([1]Contracts!$B:$B, MATCH(A498, [1]Contracts!$A:$A, 0)), F498&lt;=INDEX([1]Contracts!$C:$C, MATCH(A498, [1]Contracts!$A:$A, 0))))</f>
        <v/>
      </c>
    </row>
    <row r="499" spans="9:10">
      <c r="I499" s="3" t="str">
        <f t="shared" ca="1" si="8"/>
        <v/>
      </c>
      <c r="J499" s="3" t="str">
        <f>IF(OR(F499="",A499=""),"",AND(F499&gt;=INDEX([1]Contracts!$B:$B, MATCH(A499, [1]Contracts!$A:$A, 0)), F499&lt;=INDEX([1]Contracts!$C:$C, MATCH(A499, [1]Contracts!$A:$A, 0))))</f>
        <v/>
      </c>
    </row>
    <row r="500" spans="9:10">
      <c r="I500" s="3" t="str">
        <f t="shared" ca="1" si="8"/>
        <v/>
      </c>
      <c r="J500" s="3" t="str">
        <f>IF(OR(F500="",A500=""),"",AND(F500&gt;=INDEX([1]Contracts!$B:$B, MATCH(A500, [1]Contracts!$A:$A, 0)), F500&lt;=INDEX([1]Contracts!$C:$C, MATCH(A500, [1]Contracts!$A:$A, 0))))</f>
        <v/>
      </c>
    </row>
    <row r="501" spans="9:10">
      <c r="I501" s="3" t="str">
        <f t="shared" ca="1" si="8"/>
        <v/>
      </c>
      <c r="J501" s="3" t="str">
        <f>IF(OR(F501="",A501=""),"",AND(F501&gt;=INDEX([1]Contracts!$B:$B, MATCH(A501, [1]Contracts!$A:$A, 0)), F501&lt;=INDEX([1]Contracts!$C:$C, MATCH(A501, [1]Contracts!$A:$A, 0))))</f>
        <v/>
      </c>
    </row>
    <row r="502" spans="9:10">
      <c r="I502" s="3" t="str">
        <f t="shared" ca="1" si="8"/>
        <v/>
      </c>
      <c r="J502" s="3" t="str">
        <f>IF(OR(F502="",A502=""),"",AND(F502&gt;=INDEX([1]Contracts!$B:$B, MATCH(A502, [1]Contracts!$A:$A, 0)), F502&lt;=INDEX([1]Contracts!$C:$C, MATCH(A502, [1]Contracts!$A:$A, 0))))</f>
        <v/>
      </c>
    </row>
    <row r="503" spans="9:10">
      <c r="I503" s="3" t="str">
        <f t="shared" ca="1" si="8"/>
        <v/>
      </c>
      <c r="J503" s="3" t="str">
        <f>IF(OR(F503="",A503=""),"",AND(F503&gt;=INDEX([1]Contracts!$B:$B, MATCH(A503, [1]Contracts!$A:$A, 0)), F503&lt;=INDEX([1]Contracts!$C:$C, MATCH(A503, [1]Contracts!$A:$A, 0))))</f>
        <v/>
      </c>
    </row>
    <row r="504" spans="9:10">
      <c r="I504" s="3" t="str">
        <f t="shared" ca="1" si="8"/>
        <v/>
      </c>
      <c r="J504" s="3" t="str">
        <f>IF(OR(F504="",A504=""),"",AND(F504&gt;=INDEX([1]Contracts!$B:$B, MATCH(A504, [1]Contracts!$A:$A, 0)), F504&lt;=INDEX([1]Contracts!$C:$C, MATCH(A504, [1]Contracts!$A:$A, 0))))</f>
        <v/>
      </c>
    </row>
    <row r="505" spans="9:10">
      <c r="I505" s="3" t="str">
        <f t="shared" ca="1" si="8"/>
        <v/>
      </c>
      <c r="J505" s="3" t="str">
        <f>IF(OR(F505="",A505=""),"",AND(F505&gt;=INDEX([1]Contracts!$B:$B, MATCH(A505, [1]Contracts!$A:$A, 0)), F505&lt;=INDEX([1]Contracts!$C:$C, MATCH(A505, [1]Contracts!$A:$A, 0))))</f>
        <v/>
      </c>
    </row>
    <row r="506" spans="9:10">
      <c r="I506" s="3" t="str">
        <f t="shared" ca="1" si="8"/>
        <v/>
      </c>
      <c r="J506" s="3" t="str">
        <f>IF(OR(F506="",A506=""),"",AND(F506&gt;=INDEX([1]Contracts!$B:$B, MATCH(A506, [1]Contracts!$A:$A, 0)), F506&lt;=INDEX([1]Contracts!$C:$C, MATCH(A506, [1]Contracts!$A:$A, 0))))</f>
        <v/>
      </c>
    </row>
    <row r="507" spans="9:10">
      <c r="I507" s="3" t="str">
        <f t="shared" ca="1" si="8"/>
        <v/>
      </c>
      <c r="J507" s="3" t="str">
        <f>IF(OR(F507="",A507=""),"",AND(F507&gt;=INDEX([1]Contracts!$B:$B, MATCH(A507, [1]Contracts!$A:$A, 0)), F507&lt;=INDEX([1]Contracts!$C:$C, MATCH(A507, [1]Contracts!$A:$A, 0))))</f>
        <v/>
      </c>
    </row>
    <row r="508" spans="9:10">
      <c r="I508" s="3" t="str">
        <f t="shared" ca="1" si="8"/>
        <v/>
      </c>
      <c r="J508" s="3" t="str">
        <f>IF(OR(F508="",A508=""),"",AND(F508&gt;=INDEX([1]Contracts!$B:$B, MATCH(A508, [1]Contracts!$A:$A, 0)), F508&lt;=INDEX([1]Contracts!$C:$C, MATCH(A508, [1]Contracts!$A:$A, 0))))</f>
        <v/>
      </c>
    </row>
    <row r="509" spans="9:10">
      <c r="I509" s="3" t="str">
        <f t="shared" ca="1" si="8"/>
        <v/>
      </c>
      <c r="J509" s="3" t="str">
        <f>IF(OR(F509="",A509=""),"",AND(F509&gt;=INDEX([1]Contracts!$B:$B, MATCH(A509, [1]Contracts!$A:$A, 0)), F509&lt;=INDEX([1]Contracts!$C:$C, MATCH(A509, [1]Contracts!$A:$A, 0))))</f>
        <v/>
      </c>
    </row>
    <row r="510" spans="9:10">
      <c r="I510" s="3" t="str">
        <f t="shared" ca="1" si="8"/>
        <v/>
      </c>
      <c r="J510" s="3" t="str">
        <f>IF(OR(F510="",A510=""),"",AND(F510&gt;=INDEX([1]Contracts!$B:$B, MATCH(A510, [1]Contracts!$A:$A, 0)), F510&lt;=INDEX([1]Contracts!$C:$C, MATCH(A510, [1]Contracts!$A:$A, 0))))</f>
        <v/>
      </c>
    </row>
    <row r="511" spans="9:10">
      <c r="I511" s="3" t="str">
        <f t="shared" ca="1" si="8"/>
        <v/>
      </c>
      <c r="J511" s="3" t="str">
        <f>IF(OR(F511="",A511=""),"",AND(F511&gt;=INDEX([1]Contracts!$B:$B, MATCH(A511, [1]Contracts!$A:$A, 0)), F511&lt;=INDEX([1]Contracts!$C:$C, MATCH(A511, [1]Contracts!$A:$A, 0))))</f>
        <v/>
      </c>
    </row>
    <row r="512" spans="9:10">
      <c r="I512" s="3" t="str">
        <f t="shared" ca="1" si="8"/>
        <v/>
      </c>
      <c r="J512" s="3" t="str">
        <f>IF(OR(F512="",A512=""),"",AND(F512&gt;=INDEX([1]Contracts!$B:$B, MATCH(A512, [1]Contracts!$A:$A, 0)), F512&lt;=INDEX([1]Contracts!$C:$C, MATCH(A512, [1]Contracts!$A:$A, 0))))</f>
        <v/>
      </c>
    </row>
    <row r="513" spans="9:10">
      <c r="I513" s="3" t="str">
        <f t="shared" ca="1" si="8"/>
        <v/>
      </c>
      <c r="J513" s="3" t="str">
        <f>IF(OR(F513="",A513=""),"",AND(F513&gt;=INDEX([1]Contracts!$B:$B, MATCH(A513, [1]Contracts!$A:$A, 0)), F513&lt;=INDEX([1]Contracts!$C:$C, MATCH(A513, [1]Contracts!$A:$A, 0))))</f>
        <v/>
      </c>
    </row>
    <row r="514" spans="9:10">
      <c r="I514" s="3" t="str">
        <f t="shared" ca="1" si="8"/>
        <v/>
      </c>
      <c r="J514" s="3" t="str">
        <f>IF(OR(F514="",A514=""),"",AND(F514&gt;=INDEX([1]Contracts!$B:$B, MATCH(A514, [1]Contracts!$A:$A, 0)), F514&lt;=INDEX([1]Contracts!$C:$C, MATCH(A514, [1]Contracts!$A:$A, 0))))</f>
        <v/>
      </c>
    </row>
    <row r="515" spans="9:10">
      <c r="I515" s="3" t="str">
        <f t="shared" ca="1" si="8"/>
        <v/>
      </c>
      <c r="J515" s="3" t="str">
        <f>IF(OR(F515="",A515=""),"",AND(F515&gt;=INDEX([1]Contracts!$B:$B, MATCH(A515, [1]Contracts!$A:$A, 0)), F515&lt;=INDEX([1]Contracts!$C:$C, MATCH(A515, [1]Contracts!$A:$A, 0))))</f>
        <v/>
      </c>
    </row>
    <row r="516" spans="9:10">
      <c r="I516" s="3" t="str">
        <f t="shared" ca="1" si="8"/>
        <v/>
      </c>
      <c r="J516" s="3" t="str">
        <f>IF(OR(F516="",A516=""),"",AND(F516&gt;=INDEX([1]Contracts!$B:$B, MATCH(A516, [1]Contracts!$A:$A, 0)), F516&lt;=INDEX([1]Contracts!$C:$C, MATCH(A516, [1]Contracts!$A:$A, 0))))</f>
        <v/>
      </c>
    </row>
    <row r="517" spans="9:10">
      <c r="I517" s="3" t="str">
        <f t="shared" ca="1" si="8"/>
        <v/>
      </c>
      <c r="J517" s="3" t="str">
        <f>IF(OR(F517="",A517=""),"",AND(F517&gt;=INDEX([1]Contracts!$B:$B, MATCH(A517, [1]Contracts!$A:$A, 0)), F517&lt;=INDEX([1]Contracts!$C:$C, MATCH(A517, [1]Contracts!$A:$A, 0))))</f>
        <v/>
      </c>
    </row>
    <row r="518" spans="9:10">
      <c r="I518" s="3" t="str">
        <f t="shared" ca="1" si="8"/>
        <v/>
      </c>
      <c r="J518" s="3" t="str">
        <f>IF(OR(F518="",A518=""),"",AND(F518&gt;=INDEX([1]Contracts!$B:$B, MATCH(A518, [1]Contracts!$A:$A, 0)), F518&lt;=INDEX([1]Contracts!$C:$C, MATCH(A518, [1]Contracts!$A:$A, 0))))</f>
        <v/>
      </c>
    </row>
    <row r="519" spans="9:10">
      <c r="I519" s="3" t="str">
        <f t="shared" ca="1" si="8"/>
        <v/>
      </c>
      <c r="J519" s="3" t="str">
        <f>IF(OR(F519="",A519=""),"",AND(F519&gt;=INDEX([1]Contracts!$B:$B, MATCH(A519, [1]Contracts!$A:$A, 0)), F519&lt;=INDEX([1]Contracts!$C:$C, MATCH(A519, [1]Contracts!$A:$A, 0))))</f>
        <v/>
      </c>
    </row>
    <row r="520" spans="9:10">
      <c r="I520" s="3" t="str">
        <f t="shared" ref="I520:I583" ca="1" si="9">IF(F520="","",F520-TODAY())</f>
        <v/>
      </c>
      <c r="J520" s="3" t="str">
        <f>IF(OR(F520="",A520=""),"",AND(F520&gt;=INDEX([1]Contracts!$B:$B, MATCH(A520, [1]Contracts!$A:$A, 0)), F520&lt;=INDEX([1]Contracts!$C:$C, MATCH(A520, [1]Contracts!$A:$A, 0))))</f>
        <v/>
      </c>
    </row>
    <row r="521" spans="9:10">
      <c r="I521" s="3" t="str">
        <f t="shared" ca="1" si="9"/>
        <v/>
      </c>
      <c r="J521" s="3" t="str">
        <f>IF(OR(F521="",A521=""),"",AND(F521&gt;=INDEX([1]Contracts!$B:$B, MATCH(A521, [1]Contracts!$A:$A, 0)), F521&lt;=INDEX([1]Contracts!$C:$C, MATCH(A521, [1]Contracts!$A:$A, 0))))</f>
        <v/>
      </c>
    </row>
    <row r="522" spans="9:10">
      <c r="I522" s="3" t="str">
        <f t="shared" ca="1" si="9"/>
        <v/>
      </c>
      <c r="J522" s="3" t="str">
        <f>IF(OR(F522="",A522=""),"",AND(F522&gt;=INDEX([1]Contracts!$B:$B, MATCH(A522, [1]Contracts!$A:$A, 0)), F522&lt;=INDEX([1]Contracts!$C:$C, MATCH(A522, [1]Contracts!$A:$A, 0))))</f>
        <v/>
      </c>
    </row>
    <row r="523" spans="9:10">
      <c r="I523" s="3" t="str">
        <f t="shared" ca="1" si="9"/>
        <v/>
      </c>
      <c r="J523" s="3" t="str">
        <f>IF(OR(F523="",A523=""),"",AND(F523&gt;=INDEX([1]Contracts!$B:$B, MATCH(A523, [1]Contracts!$A:$A, 0)), F523&lt;=INDEX([1]Contracts!$C:$C, MATCH(A523, [1]Contracts!$A:$A, 0))))</f>
        <v/>
      </c>
    </row>
    <row r="524" spans="9:10">
      <c r="I524" s="3" t="str">
        <f t="shared" ca="1" si="9"/>
        <v/>
      </c>
      <c r="J524" s="3" t="str">
        <f>IF(OR(F524="",A524=""),"",AND(F524&gt;=INDEX([1]Contracts!$B:$B, MATCH(A524, [1]Contracts!$A:$A, 0)), F524&lt;=INDEX([1]Contracts!$C:$C, MATCH(A524, [1]Contracts!$A:$A, 0))))</f>
        <v/>
      </c>
    </row>
    <row r="525" spans="9:10">
      <c r="I525" s="3" t="str">
        <f t="shared" ca="1" si="9"/>
        <v/>
      </c>
      <c r="J525" s="3" t="str">
        <f>IF(OR(F525="",A525=""),"",AND(F525&gt;=INDEX([1]Contracts!$B:$B, MATCH(A525, [1]Contracts!$A:$A, 0)), F525&lt;=INDEX([1]Contracts!$C:$C, MATCH(A525, [1]Contracts!$A:$A, 0))))</f>
        <v/>
      </c>
    </row>
    <row r="526" spans="9:10">
      <c r="I526" s="3" t="str">
        <f t="shared" ca="1" si="9"/>
        <v/>
      </c>
      <c r="J526" s="3" t="str">
        <f>IF(OR(F526="",A526=""),"",AND(F526&gt;=INDEX([1]Contracts!$B:$B, MATCH(A526, [1]Contracts!$A:$A, 0)), F526&lt;=INDEX([1]Contracts!$C:$C, MATCH(A526, [1]Contracts!$A:$A, 0))))</f>
        <v/>
      </c>
    </row>
    <row r="527" spans="9:10">
      <c r="I527" s="3" t="str">
        <f t="shared" ca="1" si="9"/>
        <v/>
      </c>
      <c r="J527" s="3" t="str">
        <f>IF(OR(F527="",A527=""),"",AND(F527&gt;=INDEX([1]Contracts!$B:$B, MATCH(A527, [1]Contracts!$A:$A, 0)), F527&lt;=INDEX([1]Contracts!$C:$C, MATCH(A527, [1]Contracts!$A:$A, 0))))</f>
        <v/>
      </c>
    </row>
    <row r="528" spans="9:10">
      <c r="I528" s="3" t="str">
        <f t="shared" ca="1" si="9"/>
        <v/>
      </c>
      <c r="J528" s="3" t="str">
        <f>IF(OR(F528="",A528=""),"",AND(F528&gt;=INDEX([1]Contracts!$B:$B, MATCH(A528, [1]Contracts!$A:$A, 0)), F528&lt;=INDEX([1]Contracts!$C:$C, MATCH(A528, [1]Contracts!$A:$A, 0))))</f>
        <v/>
      </c>
    </row>
    <row r="529" spans="9:10">
      <c r="I529" s="3" t="str">
        <f t="shared" ca="1" si="9"/>
        <v/>
      </c>
      <c r="J529" s="3" t="str">
        <f>IF(OR(F529="",A529=""),"",AND(F529&gt;=INDEX([1]Contracts!$B:$B, MATCH(A529, [1]Contracts!$A:$A, 0)), F529&lt;=INDEX([1]Contracts!$C:$C, MATCH(A529, [1]Contracts!$A:$A, 0))))</f>
        <v/>
      </c>
    </row>
    <row r="530" spans="9:10">
      <c r="I530" s="3" t="str">
        <f t="shared" ca="1" si="9"/>
        <v/>
      </c>
      <c r="J530" s="3" t="str">
        <f>IF(OR(F530="",A530=""),"",AND(F530&gt;=INDEX([1]Contracts!$B:$B, MATCH(A530, [1]Contracts!$A:$A, 0)), F530&lt;=INDEX([1]Contracts!$C:$C, MATCH(A530, [1]Contracts!$A:$A, 0))))</f>
        <v/>
      </c>
    </row>
    <row r="531" spans="9:10">
      <c r="I531" s="3" t="str">
        <f t="shared" ca="1" si="9"/>
        <v/>
      </c>
      <c r="J531" s="3" t="str">
        <f>IF(OR(F531="",A531=""),"",AND(F531&gt;=INDEX([1]Contracts!$B:$B, MATCH(A531, [1]Contracts!$A:$A, 0)), F531&lt;=INDEX([1]Contracts!$C:$C, MATCH(A531, [1]Contracts!$A:$A, 0))))</f>
        <v/>
      </c>
    </row>
    <row r="532" spans="9:10">
      <c r="I532" s="3" t="str">
        <f t="shared" ca="1" si="9"/>
        <v/>
      </c>
      <c r="J532" s="3" t="str">
        <f>IF(OR(F532="",A532=""),"",AND(F532&gt;=INDEX([1]Contracts!$B:$B, MATCH(A532, [1]Contracts!$A:$A, 0)), F532&lt;=INDEX([1]Contracts!$C:$C, MATCH(A532, [1]Contracts!$A:$A, 0))))</f>
        <v/>
      </c>
    </row>
    <row r="533" spans="9:10">
      <c r="I533" s="3" t="str">
        <f t="shared" ca="1" si="9"/>
        <v/>
      </c>
      <c r="J533" s="3" t="str">
        <f>IF(OR(F533="",A533=""),"",AND(F533&gt;=INDEX([1]Contracts!$B:$B, MATCH(A533, [1]Contracts!$A:$A, 0)), F533&lt;=INDEX([1]Contracts!$C:$C, MATCH(A533, [1]Contracts!$A:$A, 0))))</f>
        <v/>
      </c>
    </row>
    <row r="534" spans="9:10">
      <c r="I534" s="3" t="str">
        <f t="shared" ca="1" si="9"/>
        <v/>
      </c>
      <c r="J534" s="3" t="str">
        <f>IF(OR(F534="",A534=""),"",AND(F534&gt;=INDEX([1]Contracts!$B:$B, MATCH(A534, [1]Contracts!$A:$A, 0)), F534&lt;=INDEX([1]Contracts!$C:$C, MATCH(A534, [1]Contracts!$A:$A, 0))))</f>
        <v/>
      </c>
    </row>
    <row r="535" spans="9:10">
      <c r="I535" s="3" t="str">
        <f t="shared" ca="1" si="9"/>
        <v/>
      </c>
      <c r="J535" s="3" t="str">
        <f>IF(OR(F535="",A535=""),"",AND(F535&gt;=INDEX([1]Contracts!$B:$B, MATCH(A535, [1]Contracts!$A:$A, 0)), F535&lt;=INDEX([1]Contracts!$C:$C, MATCH(A535, [1]Contracts!$A:$A, 0))))</f>
        <v/>
      </c>
    </row>
    <row r="536" spans="9:10">
      <c r="I536" s="3" t="str">
        <f t="shared" ca="1" si="9"/>
        <v/>
      </c>
      <c r="J536" s="3" t="str">
        <f>IF(OR(F536="",A536=""),"",AND(F536&gt;=INDEX([1]Contracts!$B:$B, MATCH(A536, [1]Contracts!$A:$A, 0)), F536&lt;=INDEX([1]Contracts!$C:$C, MATCH(A536, [1]Contracts!$A:$A, 0))))</f>
        <v/>
      </c>
    </row>
    <row r="537" spans="9:10">
      <c r="I537" s="3" t="str">
        <f t="shared" ca="1" si="9"/>
        <v/>
      </c>
      <c r="J537" s="3" t="str">
        <f>IF(OR(F537="",A537=""),"",AND(F537&gt;=INDEX([1]Contracts!$B:$B, MATCH(A537, [1]Contracts!$A:$A, 0)), F537&lt;=INDEX([1]Contracts!$C:$C, MATCH(A537, [1]Contracts!$A:$A, 0))))</f>
        <v/>
      </c>
    </row>
    <row r="538" spans="9:10">
      <c r="I538" s="3" t="str">
        <f t="shared" ca="1" si="9"/>
        <v/>
      </c>
      <c r="J538" s="3" t="str">
        <f>IF(OR(F538="",A538=""),"",AND(F538&gt;=INDEX([1]Contracts!$B:$B, MATCH(A538, [1]Contracts!$A:$A, 0)), F538&lt;=INDEX([1]Contracts!$C:$C, MATCH(A538, [1]Contracts!$A:$A, 0))))</f>
        <v/>
      </c>
    </row>
    <row r="539" spans="9:10">
      <c r="I539" s="3" t="str">
        <f t="shared" ca="1" si="9"/>
        <v/>
      </c>
      <c r="J539" s="3" t="str">
        <f>IF(OR(F539="",A539=""),"",AND(F539&gt;=INDEX([1]Contracts!$B:$B, MATCH(A539, [1]Contracts!$A:$A, 0)), F539&lt;=INDEX([1]Contracts!$C:$C, MATCH(A539, [1]Contracts!$A:$A, 0))))</f>
        <v/>
      </c>
    </row>
    <row r="540" spans="9:10">
      <c r="I540" s="3" t="str">
        <f t="shared" ca="1" si="9"/>
        <v/>
      </c>
      <c r="J540" s="3" t="str">
        <f>IF(OR(F540="",A540=""),"",AND(F540&gt;=INDEX([1]Contracts!$B:$B, MATCH(A540, [1]Contracts!$A:$A, 0)), F540&lt;=INDEX([1]Contracts!$C:$C, MATCH(A540, [1]Contracts!$A:$A, 0))))</f>
        <v/>
      </c>
    </row>
    <row r="541" spans="9:10">
      <c r="I541" s="3" t="str">
        <f t="shared" ca="1" si="9"/>
        <v/>
      </c>
      <c r="J541" s="3" t="str">
        <f>IF(OR(F541="",A541=""),"",AND(F541&gt;=INDEX([1]Contracts!$B:$B, MATCH(A541, [1]Contracts!$A:$A, 0)), F541&lt;=INDEX([1]Contracts!$C:$C, MATCH(A541, [1]Contracts!$A:$A, 0))))</f>
        <v/>
      </c>
    </row>
    <row r="542" spans="9:10">
      <c r="I542" s="3" t="str">
        <f t="shared" ca="1" si="9"/>
        <v/>
      </c>
      <c r="J542" s="3" t="str">
        <f>IF(OR(F542="",A542=""),"",AND(F542&gt;=INDEX([1]Contracts!$B:$B, MATCH(A542, [1]Contracts!$A:$A, 0)), F542&lt;=INDEX([1]Contracts!$C:$C, MATCH(A542, [1]Contracts!$A:$A, 0))))</f>
        <v/>
      </c>
    </row>
    <row r="543" spans="9:10">
      <c r="I543" s="3" t="str">
        <f t="shared" ca="1" si="9"/>
        <v/>
      </c>
      <c r="J543" s="3" t="str">
        <f>IF(OR(F543="",A543=""),"",AND(F543&gt;=INDEX([1]Contracts!$B:$B, MATCH(A543, [1]Contracts!$A:$A, 0)), F543&lt;=INDEX([1]Contracts!$C:$C, MATCH(A543, [1]Contracts!$A:$A, 0))))</f>
        <v/>
      </c>
    </row>
    <row r="544" spans="9:10">
      <c r="I544" s="3" t="str">
        <f t="shared" ca="1" si="9"/>
        <v/>
      </c>
      <c r="J544" s="3" t="str">
        <f>IF(OR(F544="",A544=""),"",AND(F544&gt;=INDEX([1]Contracts!$B:$B, MATCH(A544, [1]Contracts!$A:$A, 0)), F544&lt;=INDEX([1]Contracts!$C:$C, MATCH(A544, [1]Contracts!$A:$A, 0))))</f>
        <v/>
      </c>
    </row>
    <row r="545" spans="9:10">
      <c r="I545" s="3" t="str">
        <f t="shared" ca="1" si="9"/>
        <v/>
      </c>
      <c r="J545" s="3" t="str">
        <f>IF(OR(F545="",A545=""),"",AND(F545&gt;=INDEX([1]Contracts!$B:$B, MATCH(A545, [1]Contracts!$A:$A, 0)), F545&lt;=INDEX([1]Contracts!$C:$C, MATCH(A545, [1]Contracts!$A:$A, 0))))</f>
        <v/>
      </c>
    </row>
    <row r="546" spans="9:10">
      <c r="I546" s="3" t="str">
        <f t="shared" ca="1" si="9"/>
        <v/>
      </c>
      <c r="J546" s="3" t="str">
        <f>IF(OR(F546="",A546=""),"",AND(F546&gt;=INDEX([1]Contracts!$B:$B, MATCH(A546, [1]Contracts!$A:$A, 0)), F546&lt;=INDEX([1]Contracts!$C:$C, MATCH(A546, [1]Contracts!$A:$A, 0))))</f>
        <v/>
      </c>
    </row>
    <row r="547" spans="9:10">
      <c r="I547" s="3" t="str">
        <f t="shared" ca="1" si="9"/>
        <v/>
      </c>
      <c r="J547" s="3" t="str">
        <f>IF(OR(F547="",A547=""),"",AND(F547&gt;=INDEX([1]Contracts!$B:$B, MATCH(A547, [1]Contracts!$A:$A, 0)), F547&lt;=INDEX([1]Contracts!$C:$C, MATCH(A547, [1]Contracts!$A:$A, 0))))</f>
        <v/>
      </c>
    </row>
    <row r="548" spans="9:10">
      <c r="I548" s="3" t="str">
        <f t="shared" ca="1" si="9"/>
        <v/>
      </c>
      <c r="J548" s="3" t="str">
        <f>IF(OR(F548="",A548=""),"",AND(F548&gt;=INDEX([1]Contracts!$B:$B, MATCH(A548, [1]Contracts!$A:$A, 0)), F548&lt;=INDEX([1]Contracts!$C:$C, MATCH(A548, [1]Contracts!$A:$A, 0))))</f>
        <v/>
      </c>
    </row>
    <row r="549" spans="9:10">
      <c r="I549" s="3" t="str">
        <f t="shared" ca="1" si="9"/>
        <v/>
      </c>
      <c r="J549" s="3" t="str">
        <f>IF(OR(F549="",A549=""),"",AND(F549&gt;=INDEX([1]Contracts!$B:$B, MATCH(A549, [1]Contracts!$A:$A, 0)), F549&lt;=INDEX([1]Contracts!$C:$C, MATCH(A549, [1]Contracts!$A:$A, 0))))</f>
        <v/>
      </c>
    </row>
    <row r="550" spans="9:10">
      <c r="I550" s="3" t="str">
        <f t="shared" ca="1" si="9"/>
        <v/>
      </c>
      <c r="J550" s="3" t="str">
        <f>IF(OR(F550="",A550=""),"",AND(F550&gt;=INDEX([1]Contracts!$B:$B, MATCH(A550, [1]Contracts!$A:$A, 0)), F550&lt;=INDEX([1]Contracts!$C:$C, MATCH(A550, [1]Contracts!$A:$A, 0))))</f>
        <v/>
      </c>
    </row>
    <row r="551" spans="9:10">
      <c r="I551" s="3" t="str">
        <f t="shared" ca="1" si="9"/>
        <v/>
      </c>
      <c r="J551" s="3" t="str">
        <f>IF(OR(F551="",A551=""),"",AND(F551&gt;=INDEX([1]Contracts!$B:$B, MATCH(A551, [1]Contracts!$A:$A, 0)), F551&lt;=INDEX([1]Contracts!$C:$C, MATCH(A551, [1]Contracts!$A:$A, 0))))</f>
        <v/>
      </c>
    </row>
    <row r="552" spans="9:10">
      <c r="I552" s="3" t="str">
        <f t="shared" ca="1" si="9"/>
        <v/>
      </c>
      <c r="J552" s="3" t="str">
        <f>IF(OR(F552="",A552=""),"",AND(F552&gt;=INDEX([1]Contracts!$B:$B, MATCH(A552, [1]Contracts!$A:$A, 0)), F552&lt;=INDEX([1]Contracts!$C:$C, MATCH(A552, [1]Contracts!$A:$A, 0))))</f>
        <v/>
      </c>
    </row>
    <row r="553" spans="9:10">
      <c r="I553" s="3" t="str">
        <f t="shared" ca="1" si="9"/>
        <v/>
      </c>
      <c r="J553" s="3" t="str">
        <f>IF(OR(F553="",A553=""),"",AND(F553&gt;=INDEX([1]Contracts!$B:$B, MATCH(A553, [1]Contracts!$A:$A, 0)), F553&lt;=INDEX([1]Contracts!$C:$C, MATCH(A553, [1]Contracts!$A:$A, 0))))</f>
        <v/>
      </c>
    </row>
    <row r="554" spans="9:10">
      <c r="I554" s="3" t="str">
        <f t="shared" ca="1" si="9"/>
        <v/>
      </c>
      <c r="J554" s="3" t="str">
        <f>IF(OR(F554="",A554=""),"",AND(F554&gt;=INDEX([1]Contracts!$B:$B, MATCH(A554, [1]Contracts!$A:$A, 0)), F554&lt;=INDEX([1]Contracts!$C:$C, MATCH(A554, [1]Contracts!$A:$A, 0))))</f>
        <v/>
      </c>
    </row>
    <row r="555" spans="9:10">
      <c r="I555" s="3" t="str">
        <f t="shared" ca="1" si="9"/>
        <v/>
      </c>
      <c r="J555" s="3" t="str">
        <f>IF(OR(F555="",A555=""),"",AND(F555&gt;=INDEX([1]Contracts!$B:$B, MATCH(A555, [1]Contracts!$A:$A, 0)), F555&lt;=INDEX([1]Contracts!$C:$C, MATCH(A555, [1]Contracts!$A:$A, 0))))</f>
        <v/>
      </c>
    </row>
    <row r="556" spans="9:10">
      <c r="I556" s="3" t="str">
        <f t="shared" ca="1" si="9"/>
        <v/>
      </c>
      <c r="J556" s="3" t="str">
        <f>IF(OR(F556="",A556=""),"",AND(F556&gt;=INDEX([1]Contracts!$B:$B, MATCH(A556, [1]Contracts!$A:$A, 0)), F556&lt;=INDEX([1]Contracts!$C:$C, MATCH(A556, [1]Contracts!$A:$A, 0))))</f>
        <v/>
      </c>
    </row>
    <row r="557" spans="9:10">
      <c r="I557" s="3" t="str">
        <f t="shared" ca="1" si="9"/>
        <v/>
      </c>
      <c r="J557" s="3" t="str">
        <f>IF(OR(F557="",A557=""),"",AND(F557&gt;=INDEX([1]Contracts!$B:$B, MATCH(A557, [1]Contracts!$A:$A, 0)), F557&lt;=INDEX([1]Contracts!$C:$C, MATCH(A557, [1]Contracts!$A:$A, 0))))</f>
        <v/>
      </c>
    </row>
    <row r="558" spans="9:10">
      <c r="I558" s="3" t="str">
        <f t="shared" ca="1" si="9"/>
        <v/>
      </c>
      <c r="J558" s="3" t="str">
        <f>IF(OR(F558="",A558=""),"",AND(F558&gt;=INDEX([1]Contracts!$B:$B, MATCH(A558, [1]Contracts!$A:$A, 0)), F558&lt;=INDEX([1]Contracts!$C:$C, MATCH(A558, [1]Contracts!$A:$A, 0))))</f>
        <v/>
      </c>
    </row>
    <row r="559" spans="9:10">
      <c r="I559" s="3" t="str">
        <f t="shared" ca="1" si="9"/>
        <v/>
      </c>
      <c r="J559" s="3" t="str">
        <f>IF(OR(F559="",A559=""),"",AND(F559&gt;=INDEX([1]Contracts!$B:$B, MATCH(A559, [1]Contracts!$A:$A, 0)), F559&lt;=INDEX([1]Contracts!$C:$C, MATCH(A559, [1]Contracts!$A:$A, 0))))</f>
        <v/>
      </c>
    </row>
    <row r="560" spans="9:10">
      <c r="I560" s="3" t="str">
        <f t="shared" ca="1" si="9"/>
        <v/>
      </c>
      <c r="J560" s="3" t="str">
        <f>IF(OR(F560="",A560=""),"",AND(F560&gt;=INDEX([1]Contracts!$B:$B, MATCH(A560, [1]Contracts!$A:$A, 0)), F560&lt;=INDEX([1]Contracts!$C:$C, MATCH(A560, [1]Contracts!$A:$A, 0))))</f>
        <v/>
      </c>
    </row>
    <row r="561" spans="9:10">
      <c r="I561" s="3" t="str">
        <f t="shared" ca="1" si="9"/>
        <v/>
      </c>
      <c r="J561" s="3" t="str">
        <f>IF(OR(F561="",A561=""),"",AND(F561&gt;=INDEX([1]Contracts!$B:$B, MATCH(A561, [1]Contracts!$A:$A, 0)), F561&lt;=INDEX([1]Contracts!$C:$C, MATCH(A561, [1]Contracts!$A:$A, 0))))</f>
        <v/>
      </c>
    </row>
    <row r="562" spans="9:10">
      <c r="I562" s="3" t="str">
        <f t="shared" ca="1" si="9"/>
        <v/>
      </c>
      <c r="J562" s="3" t="str">
        <f>IF(OR(F562="",A562=""),"",AND(F562&gt;=INDEX([1]Contracts!$B:$B, MATCH(A562, [1]Contracts!$A:$A, 0)), F562&lt;=INDEX([1]Contracts!$C:$C, MATCH(A562, [1]Contracts!$A:$A, 0))))</f>
        <v/>
      </c>
    </row>
    <row r="563" spans="9:10">
      <c r="I563" s="3" t="str">
        <f t="shared" ca="1" si="9"/>
        <v/>
      </c>
      <c r="J563" s="3" t="str">
        <f>IF(OR(F563="",A563=""),"",AND(F563&gt;=INDEX([1]Contracts!$B:$B, MATCH(A563, [1]Contracts!$A:$A, 0)), F563&lt;=INDEX([1]Contracts!$C:$C, MATCH(A563, [1]Contracts!$A:$A, 0))))</f>
        <v/>
      </c>
    </row>
    <row r="564" spans="9:10">
      <c r="I564" s="3" t="str">
        <f t="shared" ca="1" si="9"/>
        <v/>
      </c>
      <c r="J564" s="3" t="str">
        <f>IF(OR(F564="",A564=""),"",AND(F564&gt;=INDEX([1]Contracts!$B:$B, MATCH(A564, [1]Contracts!$A:$A, 0)), F564&lt;=INDEX([1]Contracts!$C:$C, MATCH(A564, [1]Contracts!$A:$A, 0))))</f>
        <v/>
      </c>
    </row>
    <row r="565" spans="9:10">
      <c r="I565" s="3" t="str">
        <f t="shared" ca="1" si="9"/>
        <v/>
      </c>
      <c r="J565" s="3" t="str">
        <f>IF(OR(F565="",A565=""),"",AND(F565&gt;=INDEX([1]Contracts!$B:$B, MATCH(A565, [1]Contracts!$A:$A, 0)), F565&lt;=INDEX([1]Contracts!$C:$C, MATCH(A565, [1]Contracts!$A:$A, 0))))</f>
        <v/>
      </c>
    </row>
    <row r="566" spans="9:10">
      <c r="I566" s="3" t="str">
        <f t="shared" ca="1" si="9"/>
        <v/>
      </c>
      <c r="J566" s="3" t="str">
        <f>IF(OR(F566="",A566=""),"",AND(F566&gt;=INDEX([1]Contracts!$B:$B, MATCH(A566, [1]Contracts!$A:$A, 0)), F566&lt;=INDEX([1]Contracts!$C:$C, MATCH(A566, [1]Contracts!$A:$A, 0))))</f>
        <v/>
      </c>
    </row>
    <row r="567" spans="9:10">
      <c r="I567" s="3" t="str">
        <f t="shared" ca="1" si="9"/>
        <v/>
      </c>
      <c r="J567" s="3" t="str">
        <f>IF(OR(F567="",A567=""),"",AND(F567&gt;=INDEX([1]Contracts!$B:$B, MATCH(A567, [1]Contracts!$A:$A, 0)), F567&lt;=INDEX([1]Contracts!$C:$C, MATCH(A567, [1]Contracts!$A:$A, 0))))</f>
        <v/>
      </c>
    </row>
    <row r="568" spans="9:10">
      <c r="I568" s="3" t="str">
        <f t="shared" ca="1" si="9"/>
        <v/>
      </c>
      <c r="J568" s="3" t="str">
        <f>IF(OR(F568="",A568=""),"",AND(F568&gt;=INDEX([1]Contracts!$B:$B, MATCH(A568, [1]Contracts!$A:$A, 0)), F568&lt;=INDEX([1]Contracts!$C:$C, MATCH(A568, [1]Contracts!$A:$A, 0))))</f>
        <v/>
      </c>
    </row>
    <row r="569" spans="9:10">
      <c r="I569" s="3" t="str">
        <f t="shared" ca="1" si="9"/>
        <v/>
      </c>
      <c r="J569" s="3" t="str">
        <f>IF(OR(F569="",A569=""),"",AND(F569&gt;=INDEX([1]Contracts!$B:$B, MATCH(A569, [1]Contracts!$A:$A, 0)), F569&lt;=INDEX([1]Contracts!$C:$C, MATCH(A569, [1]Contracts!$A:$A, 0))))</f>
        <v/>
      </c>
    </row>
    <row r="570" spans="9:10">
      <c r="I570" s="3" t="str">
        <f t="shared" ca="1" si="9"/>
        <v/>
      </c>
      <c r="J570" s="3" t="str">
        <f>IF(OR(F570="",A570=""),"",AND(F570&gt;=INDEX([1]Contracts!$B:$B, MATCH(A570, [1]Contracts!$A:$A, 0)), F570&lt;=INDEX([1]Contracts!$C:$C, MATCH(A570, [1]Contracts!$A:$A, 0))))</f>
        <v/>
      </c>
    </row>
    <row r="571" spans="9:10">
      <c r="I571" s="3" t="str">
        <f t="shared" ca="1" si="9"/>
        <v/>
      </c>
      <c r="J571" s="3" t="str">
        <f>IF(OR(F571="",A571=""),"",AND(F571&gt;=INDEX([1]Contracts!$B:$B, MATCH(A571, [1]Contracts!$A:$A, 0)), F571&lt;=INDEX([1]Contracts!$C:$C, MATCH(A571, [1]Contracts!$A:$A, 0))))</f>
        <v/>
      </c>
    </row>
    <row r="572" spans="9:10">
      <c r="I572" s="3" t="str">
        <f t="shared" ca="1" si="9"/>
        <v/>
      </c>
      <c r="J572" s="3" t="str">
        <f>IF(OR(F572="",A572=""),"",AND(F572&gt;=INDEX([1]Contracts!$B:$B, MATCH(A572, [1]Contracts!$A:$A, 0)), F572&lt;=INDEX([1]Contracts!$C:$C, MATCH(A572, [1]Contracts!$A:$A, 0))))</f>
        <v/>
      </c>
    </row>
    <row r="573" spans="9:10">
      <c r="I573" s="3" t="str">
        <f t="shared" ca="1" si="9"/>
        <v/>
      </c>
      <c r="J573" s="3" t="str">
        <f>IF(OR(F573="",A573=""),"",AND(F573&gt;=INDEX([1]Contracts!$B:$B, MATCH(A573, [1]Contracts!$A:$A, 0)), F573&lt;=INDEX([1]Contracts!$C:$C, MATCH(A573, [1]Contracts!$A:$A, 0))))</f>
        <v/>
      </c>
    </row>
    <row r="574" spans="9:10">
      <c r="I574" s="3" t="str">
        <f t="shared" ca="1" si="9"/>
        <v/>
      </c>
      <c r="J574" s="3" t="str">
        <f>IF(OR(F574="",A574=""),"",AND(F574&gt;=INDEX([1]Contracts!$B:$B, MATCH(A574, [1]Contracts!$A:$A, 0)), F574&lt;=INDEX([1]Contracts!$C:$C, MATCH(A574, [1]Contracts!$A:$A, 0))))</f>
        <v/>
      </c>
    </row>
    <row r="575" spans="9:10">
      <c r="I575" s="3" t="str">
        <f t="shared" ca="1" si="9"/>
        <v/>
      </c>
      <c r="J575" s="3" t="str">
        <f>IF(OR(F575="",A575=""),"",AND(F575&gt;=INDEX([1]Contracts!$B:$B, MATCH(A575, [1]Contracts!$A:$A, 0)), F575&lt;=INDEX([1]Contracts!$C:$C, MATCH(A575, [1]Contracts!$A:$A, 0))))</f>
        <v/>
      </c>
    </row>
    <row r="576" spans="9:10">
      <c r="I576" s="3" t="str">
        <f t="shared" ca="1" si="9"/>
        <v/>
      </c>
      <c r="J576" s="3" t="str">
        <f>IF(OR(F576="",A576=""),"",AND(F576&gt;=INDEX([1]Contracts!$B:$B, MATCH(A576, [1]Contracts!$A:$A, 0)), F576&lt;=INDEX([1]Contracts!$C:$C, MATCH(A576, [1]Contracts!$A:$A, 0))))</f>
        <v/>
      </c>
    </row>
    <row r="577" spans="9:10">
      <c r="I577" s="3" t="str">
        <f t="shared" ca="1" si="9"/>
        <v/>
      </c>
      <c r="J577" s="3" t="str">
        <f>IF(OR(F577="",A577=""),"",AND(F577&gt;=INDEX([1]Contracts!$B:$B, MATCH(A577, [1]Contracts!$A:$A, 0)), F577&lt;=INDEX([1]Contracts!$C:$C, MATCH(A577, [1]Contracts!$A:$A, 0))))</f>
        <v/>
      </c>
    </row>
    <row r="578" spans="9:10">
      <c r="I578" s="3" t="str">
        <f t="shared" ca="1" si="9"/>
        <v/>
      </c>
      <c r="J578" s="3" t="str">
        <f>IF(OR(F578="",A578=""),"",AND(F578&gt;=INDEX([1]Contracts!$B:$B, MATCH(A578, [1]Contracts!$A:$A, 0)), F578&lt;=INDEX([1]Contracts!$C:$C, MATCH(A578, [1]Contracts!$A:$A, 0))))</f>
        <v/>
      </c>
    </row>
    <row r="579" spans="9:10">
      <c r="I579" s="3" t="str">
        <f t="shared" ca="1" si="9"/>
        <v/>
      </c>
      <c r="J579" s="3" t="str">
        <f>IF(OR(F579="",A579=""),"",AND(F579&gt;=INDEX([1]Contracts!$B:$B, MATCH(A579, [1]Contracts!$A:$A, 0)), F579&lt;=INDEX([1]Contracts!$C:$C, MATCH(A579, [1]Contracts!$A:$A, 0))))</f>
        <v/>
      </c>
    </row>
    <row r="580" spans="9:10">
      <c r="I580" s="3" t="str">
        <f t="shared" ca="1" si="9"/>
        <v/>
      </c>
      <c r="J580" s="3" t="str">
        <f>IF(OR(F580="",A580=""),"",AND(F580&gt;=INDEX([1]Contracts!$B:$B, MATCH(A580, [1]Contracts!$A:$A, 0)), F580&lt;=INDEX([1]Contracts!$C:$C, MATCH(A580, [1]Contracts!$A:$A, 0))))</f>
        <v/>
      </c>
    </row>
    <row r="581" spans="9:10">
      <c r="I581" s="3" t="str">
        <f t="shared" ca="1" si="9"/>
        <v/>
      </c>
      <c r="J581" s="3" t="str">
        <f>IF(OR(F581="",A581=""),"",AND(F581&gt;=INDEX([1]Contracts!$B:$B, MATCH(A581, [1]Contracts!$A:$A, 0)), F581&lt;=INDEX([1]Contracts!$C:$C, MATCH(A581, [1]Contracts!$A:$A, 0))))</f>
        <v/>
      </c>
    </row>
    <row r="582" spans="9:10">
      <c r="I582" s="3" t="str">
        <f t="shared" ca="1" si="9"/>
        <v/>
      </c>
      <c r="J582" s="3" t="str">
        <f>IF(OR(F582="",A582=""),"",AND(F582&gt;=INDEX([1]Contracts!$B:$B, MATCH(A582, [1]Contracts!$A:$A, 0)), F582&lt;=INDEX([1]Contracts!$C:$C, MATCH(A582, [1]Contracts!$A:$A, 0))))</f>
        <v/>
      </c>
    </row>
    <row r="583" spans="9:10">
      <c r="I583" s="3" t="str">
        <f t="shared" ca="1" si="9"/>
        <v/>
      </c>
      <c r="J583" s="3" t="str">
        <f>IF(OR(F583="",A583=""),"",AND(F583&gt;=INDEX([1]Contracts!$B:$B, MATCH(A583, [1]Contracts!$A:$A, 0)), F583&lt;=INDEX([1]Contracts!$C:$C, MATCH(A583, [1]Contracts!$A:$A, 0))))</f>
        <v/>
      </c>
    </row>
    <row r="584" spans="9:10">
      <c r="I584" s="3" t="str">
        <f t="shared" ref="I584:I647" ca="1" si="10">IF(F584="","",F584-TODAY())</f>
        <v/>
      </c>
      <c r="J584" s="3" t="str">
        <f>IF(OR(F584="",A584=""),"",AND(F584&gt;=INDEX([1]Contracts!$B:$B, MATCH(A584, [1]Contracts!$A:$A, 0)), F584&lt;=INDEX([1]Contracts!$C:$C, MATCH(A584, [1]Contracts!$A:$A, 0))))</f>
        <v/>
      </c>
    </row>
    <row r="585" spans="9:10">
      <c r="I585" s="3" t="str">
        <f t="shared" ca="1" si="10"/>
        <v/>
      </c>
      <c r="J585" s="3" t="str">
        <f>IF(OR(F585="",A585=""),"",AND(F585&gt;=INDEX([1]Contracts!$B:$B, MATCH(A585, [1]Contracts!$A:$A, 0)), F585&lt;=INDEX([1]Contracts!$C:$C, MATCH(A585, [1]Contracts!$A:$A, 0))))</f>
        <v/>
      </c>
    </row>
    <row r="586" spans="9:10">
      <c r="I586" s="3" t="str">
        <f t="shared" ca="1" si="10"/>
        <v/>
      </c>
      <c r="J586" s="3" t="str">
        <f>IF(OR(F586="",A586=""),"",AND(F586&gt;=INDEX([1]Contracts!$B:$B, MATCH(A586, [1]Contracts!$A:$A, 0)), F586&lt;=INDEX([1]Contracts!$C:$C, MATCH(A586, [1]Contracts!$A:$A, 0))))</f>
        <v/>
      </c>
    </row>
    <row r="587" spans="9:10">
      <c r="I587" s="3" t="str">
        <f t="shared" ca="1" si="10"/>
        <v/>
      </c>
      <c r="J587" s="3" t="str">
        <f>IF(OR(F587="",A587=""),"",AND(F587&gt;=INDEX([1]Contracts!$B:$B, MATCH(A587, [1]Contracts!$A:$A, 0)), F587&lt;=INDEX([1]Contracts!$C:$C, MATCH(A587, [1]Contracts!$A:$A, 0))))</f>
        <v/>
      </c>
    </row>
    <row r="588" spans="9:10">
      <c r="I588" s="3" t="str">
        <f t="shared" ca="1" si="10"/>
        <v/>
      </c>
      <c r="J588" s="3" t="str">
        <f>IF(OR(F588="",A588=""),"",AND(F588&gt;=INDEX([1]Contracts!$B:$B, MATCH(A588, [1]Contracts!$A:$A, 0)), F588&lt;=INDEX([1]Contracts!$C:$C, MATCH(A588, [1]Contracts!$A:$A, 0))))</f>
        <v/>
      </c>
    </row>
    <row r="589" spans="9:10">
      <c r="I589" s="3" t="str">
        <f t="shared" ca="1" si="10"/>
        <v/>
      </c>
      <c r="J589" s="3" t="str">
        <f>IF(OR(F589="",A589=""),"",AND(F589&gt;=INDEX([1]Contracts!$B:$B, MATCH(A589, [1]Contracts!$A:$A, 0)), F589&lt;=INDEX([1]Contracts!$C:$C, MATCH(A589, [1]Contracts!$A:$A, 0))))</f>
        <v/>
      </c>
    </row>
    <row r="590" spans="9:10">
      <c r="I590" s="3" t="str">
        <f t="shared" ca="1" si="10"/>
        <v/>
      </c>
      <c r="J590" s="3" t="str">
        <f>IF(OR(F590="",A590=""),"",AND(F590&gt;=INDEX([1]Contracts!$B:$B, MATCH(A590, [1]Contracts!$A:$A, 0)), F590&lt;=INDEX([1]Contracts!$C:$C, MATCH(A590, [1]Contracts!$A:$A, 0))))</f>
        <v/>
      </c>
    </row>
    <row r="591" spans="9:10">
      <c r="I591" s="3" t="str">
        <f t="shared" ca="1" si="10"/>
        <v/>
      </c>
      <c r="J591" s="3" t="str">
        <f>IF(OR(F591="",A591=""),"",AND(F591&gt;=INDEX([1]Contracts!$B:$B, MATCH(A591, [1]Contracts!$A:$A, 0)), F591&lt;=INDEX([1]Contracts!$C:$C, MATCH(A591, [1]Contracts!$A:$A, 0))))</f>
        <v/>
      </c>
    </row>
    <row r="592" spans="9:10">
      <c r="I592" s="3" t="str">
        <f t="shared" ca="1" si="10"/>
        <v/>
      </c>
      <c r="J592" s="3" t="str">
        <f>IF(OR(F592="",A592=""),"",AND(F592&gt;=INDEX([1]Contracts!$B:$B, MATCH(A592, [1]Contracts!$A:$A, 0)), F592&lt;=INDEX([1]Contracts!$C:$C, MATCH(A592, [1]Contracts!$A:$A, 0))))</f>
        <v/>
      </c>
    </row>
    <row r="593" spans="9:10">
      <c r="I593" s="3" t="str">
        <f t="shared" ca="1" si="10"/>
        <v/>
      </c>
      <c r="J593" s="3" t="str">
        <f>IF(OR(F593="",A593=""),"",AND(F593&gt;=INDEX([1]Contracts!$B:$B, MATCH(A593, [1]Contracts!$A:$A, 0)), F593&lt;=INDEX([1]Contracts!$C:$C, MATCH(A593, [1]Contracts!$A:$A, 0))))</f>
        <v/>
      </c>
    </row>
    <row r="594" spans="9:10">
      <c r="I594" s="3" t="str">
        <f t="shared" ca="1" si="10"/>
        <v/>
      </c>
      <c r="J594" s="3" t="str">
        <f>IF(OR(F594="",A594=""),"",AND(F594&gt;=INDEX([1]Contracts!$B:$B, MATCH(A594, [1]Contracts!$A:$A, 0)), F594&lt;=INDEX([1]Contracts!$C:$C, MATCH(A594, [1]Contracts!$A:$A, 0))))</f>
        <v/>
      </c>
    </row>
    <row r="595" spans="9:10">
      <c r="I595" s="3" t="str">
        <f t="shared" ca="1" si="10"/>
        <v/>
      </c>
      <c r="J595" s="3" t="str">
        <f>IF(OR(F595="",A595=""),"",AND(F595&gt;=INDEX([1]Contracts!$B:$B, MATCH(A595, [1]Contracts!$A:$A, 0)), F595&lt;=INDEX([1]Contracts!$C:$C, MATCH(A595, [1]Contracts!$A:$A, 0))))</f>
        <v/>
      </c>
    </row>
    <row r="596" spans="9:10">
      <c r="I596" s="3" t="str">
        <f t="shared" ca="1" si="10"/>
        <v/>
      </c>
      <c r="J596" s="3" t="str">
        <f>IF(OR(F596="",A596=""),"",AND(F596&gt;=INDEX([1]Contracts!$B:$B, MATCH(A596, [1]Contracts!$A:$A, 0)), F596&lt;=INDEX([1]Contracts!$C:$C, MATCH(A596, [1]Contracts!$A:$A, 0))))</f>
        <v/>
      </c>
    </row>
    <row r="597" spans="9:10">
      <c r="I597" s="3" t="str">
        <f t="shared" ca="1" si="10"/>
        <v/>
      </c>
      <c r="J597" s="3" t="str">
        <f>IF(OR(F597="",A597=""),"",AND(F597&gt;=INDEX([1]Contracts!$B:$B, MATCH(A597, [1]Contracts!$A:$A, 0)), F597&lt;=INDEX([1]Contracts!$C:$C, MATCH(A597, [1]Contracts!$A:$A, 0))))</f>
        <v/>
      </c>
    </row>
    <row r="598" spans="9:10">
      <c r="I598" s="3" t="str">
        <f t="shared" ca="1" si="10"/>
        <v/>
      </c>
      <c r="J598" s="3" t="str">
        <f>IF(OR(F598="",A598=""),"",AND(F598&gt;=INDEX([1]Contracts!$B:$B, MATCH(A598, [1]Contracts!$A:$A, 0)), F598&lt;=INDEX([1]Contracts!$C:$C, MATCH(A598, [1]Contracts!$A:$A, 0))))</f>
        <v/>
      </c>
    </row>
    <row r="599" spans="9:10">
      <c r="I599" s="3" t="str">
        <f t="shared" ca="1" si="10"/>
        <v/>
      </c>
      <c r="J599" s="3" t="str">
        <f>IF(OR(F599="",A599=""),"",AND(F599&gt;=INDEX([1]Contracts!$B:$B, MATCH(A599, [1]Contracts!$A:$A, 0)), F599&lt;=INDEX([1]Contracts!$C:$C, MATCH(A599, [1]Contracts!$A:$A, 0))))</f>
        <v/>
      </c>
    </row>
    <row r="600" spans="9:10">
      <c r="I600" s="3" t="str">
        <f t="shared" ca="1" si="10"/>
        <v/>
      </c>
      <c r="J600" s="3" t="str">
        <f>IF(OR(F600="",A600=""),"",AND(F600&gt;=INDEX([1]Contracts!$B:$B, MATCH(A600, [1]Contracts!$A:$A, 0)), F600&lt;=INDEX([1]Contracts!$C:$C, MATCH(A600, [1]Contracts!$A:$A, 0))))</f>
        <v/>
      </c>
    </row>
    <row r="601" spans="9:10">
      <c r="I601" s="3" t="str">
        <f t="shared" ca="1" si="10"/>
        <v/>
      </c>
      <c r="J601" s="3" t="str">
        <f>IF(OR(F601="",A601=""),"",AND(F601&gt;=INDEX([1]Contracts!$B:$B, MATCH(A601, [1]Contracts!$A:$A, 0)), F601&lt;=INDEX([1]Contracts!$C:$C, MATCH(A601, [1]Contracts!$A:$A, 0))))</f>
        <v/>
      </c>
    </row>
    <row r="602" spans="9:10">
      <c r="I602" s="3" t="str">
        <f t="shared" ca="1" si="10"/>
        <v/>
      </c>
      <c r="J602" s="3" t="str">
        <f>IF(OR(F602="",A602=""),"",AND(F602&gt;=INDEX([1]Contracts!$B:$B, MATCH(A602, [1]Contracts!$A:$A, 0)), F602&lt;=INDEX([1]Contracts!$C:$C, MATCH(A602, [1]Contracts!$A:$A, 0))))</f>
        <v/>
      </c>
    </row>
    <row r="603" spans="9:10">
      <c r="I603" s="3" t="str">
        <f t="shared" ca="1" si="10"/>
        <v/>
      </c>
      <c r="J603" s="3" t="str">
        <f>IF(OR(F603="",A603=""),"",AND(F603&gt;=INDEX([1]Contracts!$B:$B, MATCH(A603, [1]Contracts!$A:$A, 0)), F603&lt;=INDEX([1]Contracts!$C:$C, MATCH(A603, [1]Contracts!$A:$A, 0))))</f>
        <v/>
      </c>
    </row>
    <row r="604" spans="9:10">
      <c r="I604" s="3" t="str">
        <f t="shared" ca="1" si="10"/>
        <v/>
      </c>
      <c r="J604" s="3" t="str">
        <f>IF(OR(F604="",A604=""),"",AND(F604&gt;=INDEX([1]Contracts!$B:$B, MATCH(A604, [1]Contracts!$A:$A, 0)), F604&lt;=INDEX([1]Contracts!$C:$C, MATCH(A604, [1]Contracts!$A:$A, 0))))</f>
        <v/>
      </c>
    </row>
    <row r="605" spans="9:10">
      <c r="I605" s="3" t="str">
        <f t="shared" ca="1" si="10"/>
        <v/>
      </c>
      <c r="J605" s="3" t="str">
        <f>IF(OR(F605="",A605=""),"",AND(F605&gt;=INDEX([1]Contracts!$B:$B, MATCH(A605, [1]Contracts!$A:$A, 0)), F605&lt;=INDEX([1]Contracts!$C:$C, MATCH(A605, [1]Contracts!$A:$A, 0))))</f>
        <v/>
      </c>
    </row>
    <row r="606" spans="9:10">
      <c r="I606" s="3" t="str">
        <f t="shared" ca="1" si="10"/>
        <v/>
      </c>
      <c r="J606" s="3" t="str">
        <f>IF(OR(F606="",A606=""),"",AND(F606&gt;=INDEX([1]Contracts!$B:$B, MATCH(A606, [1]Contracts!$A:$A, 0)), F606&lt;=INDEX([1]Contracts!$C:$C, MATCH(A606, [1]Contracts!$A:$A, 0))))</f>
        <v/>
      </c>
    </row>
    <row r="607" spans="9:10">
      <c r="I607" s="3" t="str">
        <f t="shared" ca="1" si="10"/>
        <v/>
      </c>
      <c r="J607" s="3" t="str">
        <f>IF(OR(F607="",A607=""),"",AND(F607&gt;=INDEX([1]Contracts!$B:$B, MATCH(A607, [1]Contracts!$A:$A, 0)), F607&lt;=INDEX([1]Contracts!$C:$C, MATCH(A607, [1]Contracts!$A:$A, 0))))</f>
        <v/>
      </c>
    </row>
    <row r="608" spans="9:10">
      <c r="I608" s="3" t="str">
        <f t="shared" ca="1" si="10"/>
        <v/>
      </c>
      <c r="J608" s="3" t="str">
        <f>IF(OR(F608="",A608=""),"",AND(F608&gt;=INDEX([1]Contracts!$B:$B, MATCH(A608, [1]Contracts!$A:$A, 0)), F608&lt;=INDEX([1]Contracts!$C:$C, MATCH(A608, [1]Contracts!$A:$A, 0))))</f>
        <v/>
      </c>
    </row>
    <row r="609" spans="9:10">
      <c r="I609" s="3" t="str">
        <f t="shared" ca="1" si="10"/>
        <v/>
      </c>
      <c r="J609" s="3" t="str">
        <f>IF(OR(F609="",A609=""),"",AND(F609&gt;=INDEX([1]Contracts!$B:$B, MATCH(A609, [1]Contracts!$A:$A, 0)), F609&lt;=INDEX([1]Contracts!$C:$C, MATCH(A609, [1]Contracts!$A:$A, 0))))</f>
        <v/>
      </c>
    </row>
    <row r="610" spans="9:10">
      <c r="I610" s="3" t="str">
        <f t="shared" ca="1" si="10"/>
        <v/>
      </c>
      <c r="J610" s="3" t="str">
        <f>IF(OR(F610="",A610=""),"",AND(F610&gt;=INDEX([1]Contracts!$B:$B, MATCH(A610, [1]Contracts!$A:$A, 0)), F610&lt;=INDEX([1]Contracts!$C:$C, MATCH(A610, [1]Contracts!$A:$A, 0))))</f>
        <v/>
      </c>
    </row>
    <row r="611" spans="9:10">
      <c r="I611" s="3" t="str">
        <f t="shared" ca="1" si="10"/>
        <v/>
      </c>
      <c r="J611" s="3" t="str">
        <f>IF(OR(F611="",A611=""),"",AND(F611&gt;=INDEX([1]Contracts!$B:$B, MATCH(A611, [1]Contracts!$A:$A, 0)), F611&lt;=INDEX([1]Contracts!$C:$C, MATCH(A611, [1]Contracts!$A:$A, 0))))</f>
        <v/>
      </c>
    </row>
    <row r="612" spans="9:10">
      <c r="I612" s="3" t="str">
        <f t="shared" ca="1" si="10"/>
        <v/>
      </c>
      <c r="J612" s="3" t="str">
        <f>IF(OR(F612="",A612=""),"",AND(F612&gt;=INDEX([1]Contracts!$B:$B, MATCH(A612, [1]Contracts!$A:$A, 0)), F612&lt;=INDEX([1]Contracts!$C:$C, MATCH(A612, [1]Contracts!$A:$A, 0))))</f>
        <v/>
      </c>
    </row>
    <row r="613" spans="9:10">
      <c r="I613" s="3" t="str">
        <f t="shared" ca="1" si="10"/>
        <v/>
      </c>
      <c r="J613" s="3" t="str">
        <f>IF(OR(F613="",A613=""),"",AND(F613&gt;=INDEX([1]Contracts!$B:$B, MATCH(A613, [1]Contracts!$A:$A, 0)), F613&lt;=INDEX([1]Contracts!$C:$C, MATCH(A613, [1]Contracts!$A:$A, 0))))</f>
        <v/>
      </c>
    </row>
    <row r="614" spans="9:10">
      <c r="I614" s="3" t="str">
        <f t="shared" ca="1" si="10"/>
        <v/>
      </c>
      <c r="J614" s="3" t="str">
        <f>IF(OR(F614="",A614=""),"",AND(F614&gt;=INDEX([1]Contracts!$B:$B, MATCH(A614, [1]Contracts!$A:$A, 0)), F614&lt;=INDEX([1]Contracts!$C:$C, MATCH(A614, [1]Contracts!$A:$A, 0))))</f>
        <v/>
      </c>
    </row>
    <row r="615" spans="9:10">
      <c r="I615" s="3" t="str">
        <f t="shared" ca="1" si="10"/>
        <v/>
      </c>
      <c r="J615" s="3" t="str">
        <f>IF(OR(F615="",A615=""),"",AND(F615&gt;=INDEX([1]Contracts!$B:$B, MATCH(A615, [1]Contracts!$A:$A, 0)), F615&lt;=INDEX([1]Contracts!$C:$C, MATCH(A615, [1]Contracts!$A:$A, 0))))</f>
        <v/>
      </c>
    </row>
    <row r="616" spans="9:10">
      <c r="I616" s="3" t="str">
        <f t="shared" ca="1" si="10"/>
        <v/>
      </c>
      <c r="J616" s="3" t="str">
        <f>IF(OR(F616="",A616=""),"",AND(F616&gt;=INDEX([1]Contracts!$B:$B, MATCH(A616, [1]Contracts!$A:$A, 0)), F616&lt;=INDEX([1]Contracts!$C:$C, MATCH(A616, [1]Contracts!$A:$A, 0))))</f>
        <v/>
      </c>
    </row>
    <row r="617" spans="9:10">
      <c r="I617" s="3" t="str">
        <f t="shared" ca="1" si="10"/>
        <v/>
      </c>
      <c r="J617" s="3" t="str">
        <f>IF(OR(F617="",A617=""),"",AND(F617&gt;=INDEX([1]Contracts!$B:$B, MATCH(A617, [1]Contracts!$A:$A, 0)), F617&lt;=INDEX([1]Contracts!$C:$C, MATCH(A617, [1]Contracts!$A:$A, 0))))</f>
        <v/>
      </c>
    </row>
    <row r="618" spans="9:10">
      <c r="I618" s="3" t="str">
        <f t="shared" ca="1" si="10"/>
        <v/>
      </c>
      <c r="J618" s="3" t="str">
        <f>IF(OR(F618="",A618=""),"",AND(F618&gt;=INDEX([1]Contracts!$B:$B, MATCH(A618, [1]Contracts!$A:$A, 0)), F618&lt;=INDEX([1]Contracts!$C:$C, MATCH(A618, [1]Contracts!$A:$A, 0))))</f>
        <v/>
      </c>
    </row>
    <row r="619" spans="9:10">
      <c r="I619" s="3" t="str">
        <f t="shared" ca="1" si="10"/>
        <v/>
      </c>
      <c r="J619" s="3" t="str">
        <f>IF(OR(F619="",A619=""),"",AND(F619&gt;=INDEX([1]Contracts!$B:$B, MATCH(A619, [1]Contracts!$A:$A, 0)), F619&lt;=INDEX([1]Contracts!$C:$C, MATCH(A619, [1]Contracts!$A:$A, 0))))</f>
        <v/>
      </c>
    </row>
    <row r="620" spans="9:10">
      <c r="I620" s="3" t="str">
        <f t="shared" ca="1" si="10"/>
        <v/>
      </c>
      <c r="J620" s="3" t="str">
        <f>IF(OR(F620="",A620=""),"",AND(F620&gt;=INDEX([1]Contracts!$B:$B, MATCH(A620, [1]Contracts!$A:$A, 0)), F620&lt;=INDEX([1]Contracts!$C:$C, MATCH(A620, [1]Contracts!$A:$A, 0))))</f>
        <v/>
      </c>
    </row>
    <row r="621" spans="9:10">
      <c r="I621" s="3" t="str">
        <f t="shared" ca="1" si="10"/>
        <v/>
      </c>
      <c r="J621" s="3" t="str">
        <f>IF(OR(F621="",A621=""),"",AND(F621&gt;=INDEX([1]Contracts!$B:$B, MATCH(A621, [1]Contracts!$A:$A, 0)), F621&lt;=INDEX([1]Contracts!$C:$C, MATCH(A621, [1]Contracts!$A:$A, 0))))</f>
        <v/>
      </c>
    </row>
    <row r="622" spans="9:10">
      <c r="I622" s="3" t="str">
        <f t="shared" ca="1" si="10"/>
        <v/>
      </c>
      <c r="J622" s="3" t="str">
        <f>IF(OR(F622="",A622=""),"",AND(F622&gt;=INDEX([1]Contracts!$B:$B, MATCH(A622, [1]Contracts!$A:$A, 0)), F622&lt;=INDEX([1]Contracts!$C:$C, MATCH(A622, [1]Contracts!$A:$A, 0))))</f>
        <v/>
      </c>
    </row>
    <row r="623" spans="9:10">
      <c r="I623" s="3" t="str">
        <f t="shared" ca="1" si="10"/>
        <v/>
      </c>
      <c r="J623" s="3" t="str">
        <f>IF(OR(F623="",A623=""),"",AND(F623&gt;=INDEX([1]Contracts!$B:$B, MATCH(A623, [1]Contracts!$A:$A, 0)), F623&lt;=INDEX([1]Contracts!$C:$C, MATCH(A623, [1]Contracts!$A:$A, 0))))</f>
        <v/>
      </c>
    </row>
    <row r="624" spans="9:10">
      <c r="I624" s="3" t="str">
        <f t="shared" ca="1" si="10"/>
        <v/>
      </c>
      <c r="J624" s="3" t="str">
        <f>IF(OR(F624="",A624=""),"",AND(F624&gt;=INDEX([1]Contracts!$B:$B, MATCH(A624, [1]Contracts!$A:$A, 0)), F624&lt;=INDEX([1]Contracts!$C:$C, MATCH(A624, [1]Contracts!$A:$A, 0))))</f>
        <v/>
      </c>
    </row>
    <row r="625" spans="9:10">
      <c r="I625" s="3" t="str">
        <f t="shared" ca="1" si="10"/>
        <v/>
      </c>
      <c r="J625" s="3" t="str">
        <f>IF(OR(F625="",A625=""),"",AND(F625&gt;=INDEX([1]Contracts!$B:$B, MATCH(A625, [1]Contracts!$A:$A, 0)), F625&lt;=INDEX([1]Contracts!$C:$C, MATCH(A625, [1]Contracts!$A:$A, 0))))</f>
        <v/>
      </c>
    </row>
    <row r="626" spans="9:10">
      <c r="I626" s="3" t="str">
        <f t="shared" ca="1" si="10"/>
        <v/>
      </c>
      <c r="J626" s="3" t="str">
        <f>IF(OR(F626="",A626=""),"",AND(F626&gt;=INDEX([1]Contracts!$B:$B, MATCH(A626, [1]Contracts!$A:$A, 0)), F626&lt;=INDEX([1]Contracts!$C:$C, MATCH(A626, [1]Contracts!$A:$A, 0))))</f>
        <v/>
      </c>
    </row>
    <row r="627" spans="9:10">
      <c r="I627" s="3" t="str">
        <f t="shared" ca="1" si="10"/>
        <v/>
      </c>
      <c r="J627" s="3" t="str">
        <f>IF(OR(F627="",A627=""),"",AND(F627&gt;=INDEX([1]Contracts!$B:$B, MATCH(A627, [1]Contracts!$A:$A, 0)), F627&lt;=INDEX([1]Contracts!$C:$C, MATCH(A627, [1]Contracts!$A:$A, 0))))</f>
        <v/>
      </c>
    </row>
    <row r="628" spans="9:10">
      <c r="I628" s="3" t="str">
        <f t="shared" ca="1" si="10"/>
        <v/>
      </c>
      <c r="J628" s="3" t="str">
        <f>IF(OR(F628="",A628=""),"",AND(F628&gt;=INDEX([1]Contracts!$B:$B, MATCH(A628, [1]Contracts!$A:$A, 0)), F628&lt;=INDEX([1]Contracts!$C:$C, MATCH(A628, [1]Contracts!$A:$A, 0))))</f>
        <v/>
      </c>
    </row>
    <row r="629" spans="9:10">
      <c r="I629" s="3" t="str">
        <f t="shared" ca="1" si="10"/>
        <v/>
      </c>
      <c r="J629" s="3" t="str">
        <f>IF(OR(F629="",A629=""),"",AND(F629&gt;=INDEX([1]Contracts!$B:$B, MATCH(A629, [1]Contracts!$A:$A, 0)), F629&lt;=INDEX([1]Contracts!$C:$C, MATCH(A629, [1]Contracts!$A:$A, 0))))</f>
        <v/>
      </c>
    </row>
    <row r="630" spans="9:10">
      <c r="I630" s="3" t="str">
        <f t="shared" ca="1" si="10"/>
        <v/>
      </c>
      <c r="J630" s="3" t="str">
        <f>IF(OR(F630="",A630=""),"",AND(F630&gt;=INDEX([1]Contracts!$B:$B, MATCH(A630, [1]Contracts!$A:$A, 0)), F630&lt;=INDEX([1]Contracts!$C:$C, MATCH(A630, [1]Contracts!$A:$A, 0))))</f>
        <v/>
      </c>
    </row>
    <row r="631" spans="9:10">
      <c r="I631" s="3" t="str">
        <f t="shared" ca="1" si="10"/>
        <v/>
      </c>
      <c r="J631" s="3" t="str">
        <f>IF(OR(F631="",A631=""),"",AND(F631&gt;=INDEX([1]Contracts!$B:$B, MATCH(A631, [1]Contracts!$A:$A, 0)), F631&lt;=INDEX([1]Contracts!$C:$C, MATCH(A631, [1]Contracts!$A:$A, 0))))</f>
        <v/>
      </c>
    </row>
    <row r="632" spans="9:10">
      <c r="I632" s="3" t="str">
        <f t="shared" ca="1" si="10"/>
        <v/>
      </c>
      <c r="J632" s="3" t="str">
        <f>IF(OR(F632="",A632=""),"",AND(F632&gt;=INDEX([1]Contracts!$B:$B, MATCH(A632, [1]Contracts!$A:$A, 0)), F632&lt;=INDEX([1]Contracts!$C:$C, MATCH(A632, [1]Contracts!$A:$A, 0))))</f>
        <v/>
      </c>
    </row>
    <row r="633" spans="9:10">
      <c r="I633" s="3" t="str">
        <f t="shared" ca="1" si="10"/>
        <v/>
      </c>
      <c r="J633" s="3" t="str">
        <f>IF(OR(F633="",A633=""),"",AND(F633&gt;=INDEX([1]Contracts!$B:$B, MATCH(A633, [1]Contracts!$A:$A, 0)), F633&lt;=INDEX([1]Contracts!$C:$C, MATCH(A633, [1]Contracts!$A:$A, 0))))</f>
        <v/>
      </c>
    </row>
    <row r="634" spans="9:10">
      <c r="I634" s="3" t="str">
        <f t="shared" ca="1" si="10"/>
        <v/>
      </c>
      <c r="J634" s="3" t="str">
        <f>IF(OR(F634="",A634=""),"",AND(F634&gt;=INDEX([1]Contracts!$B:$B, MATCH(A634, [1]Contracts!$A:$A, 0)), F634&lt;=INDEX([1]Contracts!$C:$C, MATCH(A634, [1]Contracts!$A:$A, 0))))</f>
        <v/>
      </c>
    </row>
    <row r="635" spans="9:10">
      <c r="I635" s="3" t="str">
        <f t="shared" ca="1" si="10"/>
        <v/>
      </c>
      <c r="J635" s="3" t="str">
        <f>IF(OR(F635="",A635=""),"",AND(F635&gt;=INDEX([1]Contracts!$B:$B, MATCH(A635, [1]Contracts!$A:$A, 0)), F635&lt;=INDEX([1]Contracts!$C:$C, MATCH(A635, [1]Contracts!$A:$A, 0))))</f>
        <v/>
      </c>
    </row>
    <row r="636" spans="9:10">
      <c r="I636" s="3" t="str">
        <f t="shared" ca="1" si="10"/>
        <v/>
      </c>
      <c r="J636" s="3" t="str">
        <f>IF(OR(F636="",A636=""),"",AND(F636&gt;=INDEX([1]Contracts!$B:$B, MATCH(A636, [1]Contracts!$A:$A, 0)), F636&lt;=INDEX([1]Contracts!$C:$C, MATCH(A636, [1]Contracts!$A:$A, 0))))</f>
        <v/>
      </c>
    </row>
    <row r="637" spans="9:10">
      <c r="I637" s="3" t="str">
        <f t="shared" ca="1" si="10"/>
        <v/>
      </c>
      <c r="J637" s="3" t="str">
        <f>IF(OR(F637="",A637=""),"",AND(F637&gt;=INDEX([1]Contracts!$B:$B, MATCH(A637, [1]Contracts!$A:$A, 0)), F637&lt;=INDEX([1]Contracts!$C:$C, MATCH(A637, [1]Contracts!$A:$A, 0))))</f>
        <v/>
      </c>
    </row>
    <row r="638" spans="9:10">
      <c r="I638" s="3" t="str">
        <f t="shared" ca="1" si="10"/>
        <v/>
      </c>
      <c r="J638" s="3" t="str">
        <f>IF(OR(F638="",A638=""),"",AND(F638&gt;=INDEX([1]Contracts!$B:$B, MATCH(A638, [1]Contracts!$A:$A, 0)), F638&lt;=INDEX([1]Contracts!$C:$C, MATCH(A638, [1]Contracts!$A:$A, 0))))</f>
        <v/>
      </c>
    </row>
    <row r="639" spans="9:10">
      <c r="I639" s="3" t="str">
        <f t="shared" ca="1" si="10"/>
        <v/>
      </c>
      <c r="J639" s="3" t="str">
        <f>IF(OR(F639="",A639=""),"",AND(F639&gt;=INDEX([1]Contracts!$B:$B, MATCH(A639, [1]Contracts!$A:$A, 0)), F639&lt;=INDEX([1]Contracts!$C:$C, MATCH(A639, [1]Contracts!$A:$A, 0))))</f>
        <v/>
      </c>
    </row>
    <row r="640" spans="9:10">
      <c r="I640" s="3" t="str">
        <f t="shared" ca="1" si="10"/>
        <v/>
      </c>
      <c r="J640" s="3" t="str">
        <f>IF(OR(F640="",A640=""),"",AND(F640&gt;=INDEX([1]Contracts!$B:$B, MATCH(A640, [1]Contracts!$A:$A, 0)), F640&lt;=INDEX([1]Contracts!$C:$C, MATCH(A640, [1]Contracts!$A:$A, 0))))</f>
        <v/>
      </c>
    </row>
    <row r="641" spans="9:10">
      <c r="I641" s="3" t="str">
        <f t="shared" ca="1" si="10"/>
        <v/>
      </c>
      <c r="J641" s="3" t="str">
        <f>IF(OR(F641="",A641=""),"",AND(F641&gt;=INDEX([1]Contracts!$B:$B, MATCH(A641, [1]Contracts!$A:$A, 0)), F641&lt;=INDEX([1]Contracts!$C:$C, MATCH(A641, [1]Contracts!$A:$A, 0))))</f>
        <v/>
      </c>
    </row>
    <row r="642" spans="9:10">
      <c r="I642" s="3" t="str">
        <f t="shared" ca="1" si="10"/>
        <v/>
      </c>
      <c r="J642" s="3" t="str">
        <f>IF(OR(F642="",A642=""),"",AND(F642&gt;=INDEX([1]Contracts!$B:$B, MATCH(A642, [1]Contracts!$A:$A, 0)), F642&lt;=INDEX([1]Contracts!$C:$C, MATCH(A642, [1]Contracts!$A:$A, 0))))</f>
        <v/>
      </c>
    </row>
    <row r="643" spans="9:10">
      <c r="I643" s="3" t="str">
        <f t="shared" ca="1" si="10"/>
        <v/>
      </c>
      <c r="J643" s="3" t="str">
        <f>IF(OR(F643="",A643=""),"",AND(F643&gt;=INDEX([1]Contracts!$B:$B, MATCH(A643, [1]Contracts!$A:$A, 0)), F643&lt;=INDEX([1]Contracts!$C:$C, MATCH(A643, [1]Contracts!$A:$A, 0))))</f>
        <v/>
      </c>
    </row>
    <row r="644" spans="9:10">
      <c r="I644" s="3" t="str">
        <f t="shared" ca="1" si="10"/>
        <v/>
      </c>
      <c r="J644" s="3" t="str">
        <f>IF(OR(F644="",A644=""),"",AND(F644&gt;=INDEX([1]Contracts!$B:$B, MATCH(A644, [1]Contracts!$A:$A, 0)), F644&lt;=INDEX([1]Contracts!$C:$C, MATCH(A644, [1]Contracts!$A:$A, 0))))</f>
        <v/>
      </c>
    </row>
    <row r="645" spans="9:10">
      <c r="I645" s="3" t="str">
        <f t="shared" ca="1" si="10"/>
        <v/>
      </c>
      <c r="J645" s="3" t="str">
        <f>IF(OR(F645="",A645=""),"",AND(F645&gt;=INDEX([1]Contracts!$B:$B, MATCH(A645, [1]Contracts!$A:$A, 0)), F645&lt;=INDEX([1]Contracts!$C:$C, MATCH(A645, [1]Contracts!$A:$A, 0))))</f>
        <v/>
      </c>
    </row>
    <row r="646" spans="9:10">
      <c r="I646" s="3" t="str">
        <f t="shared" ca="1" si="10"/>
        <v/>
      </c>
      <c r="J646" s="3" t="str">
        <f>IF(OR(F646="",A646=""),"",AND(F646&gt;=INDEX([1]Contracts!$B:$B, MATCH(A646, [1]Contracts!$A:$A, 0)), F646&lt;=INDEX([1]Contracts!$C:$C, MATCH(A646, [1]Contracts!$A:$A, 0))))</f>
        <v/>
      </c>
    </row>
    <row r="647" spans="9:10">
      <c r="I647" s="3" t="str">
        <f t="shared" ca="1" si="10"/>
        <v/>
      </c>
      <c r="J647" s="3" t="str">
        <f>IF(OR(F647="",A647=""),"",AND(F647&gt;=INDEX([1]Contracts!$B:$B, MATCH(A647, [1]Contracts!$A:$A, 0)), F647&lt;=INDEX([1]Contracts!$C:$C, MATCH(A647, [1]Contracts!$A:$A, 0))))</f>
        <v/>
      </c>
    </row>
    <row r="648" spans="9:10">
      <c r="I648" s="3" t="str">
        <f t="shared" ref="I648:I711" ca="1" si="11">IF(F648="","",F648-TODAY())</f>
        <v/>
      </c>
      <c r="J648" s="3" t="str">
        <f>IF(OR(F648="",A648=""),"",AND(F648&gt;=INDEX([1]Contracts!$B:$B, MATCH(A648, [1]Contracts!$A:$A, 0)), F648&lt;=INDEX([1]Contracts!$C:$C, MATCH(A648, [1]Contracts!$A:$A, 0))))</f>
        <v/>
      </c>
    </row>
    <row r="649" spans="9:10">
      <c r="I649" s="3" t="str">
        <f t="shared" ca="1" si="11"/>
        <v/>
      </c>
      <c r="J649" s="3" t="str">
        <f>IF(OR(F649="",A649=""),"",AND(F649&gt;=INDEX([1]Contracts!$B:$B, MATCH(A649, [1]Contracts!$A:$A, 0)), F649&lt;=INDEX([1]Contracts!$C:$C, MATCH(A649, [1]Contracts!$A:$A, 0))))</f>
        <v/>
      </c>
    </row>
    <row r="650" spans="9:10">
      <c r="I650" s="3" t="str">
        <f t="shared" ca="1" si="11"/>
        <v/>
      </c>
      <c r="J650" s="3" t="str">
        <f>IF(OR(F650="",A650=""),"",AND(F650&gt;=INDEX([1]Contracts!$B:$B, MATCH(A650, [1]Contracts!$A:$A, 0)), F650&lt;=INDEX([1]Contracts!$C:$C, MATCH(A650, [1]Contracts!$A:$A, 0))))</f>
        <v/>
      </c>
    </row>
    <row r="651" spans="9:10">
      <c r="I651" s="3" t="str">
        <f t="shared" ca="1" si="11"/>
        <v/>
      </c>
      <c r="J651" s="3" t="str">
        <f>IF(OR(F651="",A651=""),"",AND(F651&gt;=INDEX([1]Contracts!$B:$B, MATCH(A651, [1]Contracts!$A:$A, 0)), F651&lt;=INDEX([1]Contracts!$C:$C, MATCH(A651, [1]Contracts!$A:$A, 0))))</f>
        <v/>
      </c>
    </row>
    <row r="652" spans="9:10">
      <c r="I652" s="3" t="str">
        <f t="shared" ca="1" si="11"/>
        <v/>
      </c>
      <c r="J652" s="3" t="str">
        <f>IF(OR(F652="",A652=""),"",AND(F652&gt;=INDEX([1]Contracts!$B:$B, MATCH(A652, [1]Contracts!$A:$A, 0)), F652&lt;=INDEX([1]Contracts!$C:$C, MATCH(A652, [1]Contracts!$A:$A, 0))))</f>
        <v/>
      </c>
    </row>
    <row r="653" spans="9:10">
      <c r="I653" s="3" t="str">
        <f t="shared" ca="1" si="11"/>
        <v/>
      </c>
      <c r="J653" s="3" t="str">
        <f>IF(OR(F653="",A653=""),"",AND(F653&gt;=INDEX([1]Contracts!$B:$B, MATCH(A653, [1]Contracts!$A:$A, 0)), F653&lt;=INDEX([1]Contracts!$C:$C, MATCH(A653, [1]Contracts!$A:$A, 0))))</f>
        <v/>
      </c>
    </row>
    <row r="654" spans="9:10">
      <c r="I654" s="3" t="str">
        <f t="shared" ca="1" si="11"/>
        <v/>
      </c>
      <c r="J654" s="3" t="str">
        <f>IF(OR(F654="",A654=""),"",AND(F654&gt;=INDEX([1]Contracts!$B:$B, MATCH(A654, [1]Contracts!$A:$A, 0)), F654&lt;=INDEX([1]Contracts!$C:$C, MATCH(A654, [1]Contracts!$A:$A, 0))))</f>
        <v/>
      </c>
    </row>
    <row r="655" spans="9:10">
      <c r="I655" s="3" t="str">
        <f t="shared" ca="1" si="11"/>
        <v/>
      </c>
      <c r="J655" s="3" t="str">
        <f>IF(OR(F655="",A655=""),"",AND(F655&gt;=INDEX([1]Contracts!$B:$B, MATCH(A655, [1]Contracts!$A:$A, 0)), F655&lt;=INDEX([1]Contracts!$C:$C, MATCH(A655, [1]Contracts!$A:$A, 0))))</f>
        <v/>
      </c>
    </row>
    <row r="656" spans="9:10">
      <c r="I656" s="3" t="str">
        <f t="shared" ca="1" si="11"/>
        <v/>
      </c>
      <c r="J656" s="3" t="str">
        <f>IF(OR(F656="",A656=""),"",AND(F656&gt;=INDEX([1]Contracts!$B:$B, MATCH(A656, [1]Contracts!$A:$A, 0)), F656&lt;=INDEX([1]Contracts!$C:$C, MATCH(A656, [1]Contracts!$A:$A, 0))))</f>
        <v/>
      </c>
    </row>
    <row r="657" spans="9:10">
      <c r="I657" s="3" t="str">
        <f t="shared" ca="1" si="11"/>
        <v/>
      </c>
      <c r="J657" s="3" t="str">
        <f>IF(OR(F657="",A657=""),"",AND(F657&gt;=INDEX([1]Contracts!$B:$B, MATCH(A657, [1]Contracts!$A:$A, 0)), F657&lt;=INDEX([1]Contracts!$C:$C, MATCH(A657, [1]Contracts!$A:$A, 0))))</f>
        <v/>
      </c>
    </row>
    <row r="658" spans="9:10">
      <c r="I658" s="3" t="str">
        <f t="shared" ca="1" si="11"/>
        <v/>
      </c>
      <c r="J658" s="3" t="str">
        <f>IF(OR(F658="",A658=""),"",AND(F658&gt;=INDEX([1]Contracts!$B:$B, MATCH(A658, [1]Contracts!$A:$A, 0)), F658&lt;=INDEX([1]Contracts!$C:$C, MATCH(A658, [1]Contracts!$A:$A, 0))))</f>
        <v/>
      </c>
    </row>
    <row r="659" spans="9:10">
      <c r="I659" s="3" t="str">
        <f t="shared" ca="1" si="11"/>
        <v/>
      </c>
      <c r="J659" s="3" t="str">
        <f>IF(OR(F659="",A659=""),"",AND(F659&gt;=INDEX([1]Contracts!$B:$B, MATCH(A659, [1]Contracts!$A:$A, 0)), F659&lt;=INDEX([1]Contracts!$C:$C, MATCH(A659, [1]Contracts!$A:$A, 0))))</f>
        <v/>
      </c>
    </row>
    <row r="660" spans="9:10">
      <c r="I660" s="3" t="str">
        <f t="shared" ca="1" si="11"/>
        <v/>
      </c>
      <c r="J660" s="3" t="str">
        <f>IF(OR(F660="",A660=""),"",AND(F660&gt;=INDEX([1]Contracts!$B:$B, MATCH(A660, [1]Contracts!$A:$A, 0)), F660&lt;=INDEX([1]Contracts!$C:$C, MATCH(A660, [1]Contracts!$A:$A, 0))))</f>
        <v/>
      </c>
    </row>
    <row r="661" spans="9:10">
      <c r="I661" s="3" t="str">
        <f t="shared" ca="1" si="11"/>
        <v/>
      </c>
      <c r="J661" s="3" t="str">
        <f>IF(OR(F661="",A661=""),"",AND(F661&gt;=INDEX([1]Contracts!$B:$B, MATCH(A661, [1]Contracts!$A:$A, 0)), F661&lt;=INDEX([1]Contracts!$C:$C, MATCH(A661, [1]Contracts!$A:$A, 0))))</f>
        <v/>
      </c>
    </row>
    <row r="662" spans="9:10">
      <c r="I662" s="3" t="str">
        <f t="shared" ca="1" si="11"/>
        <v/>
      </c>
      <c r="J662" s="3" t="str">
        <f>IF(OR(F662="",A662=""),"",AND(F662&gt;=INDEX([1]Contracts!$B:$B, MATCH(A662, [1]Contracts!$A:$A, 0)), F662&lt;=INDEX([1]Contracts!$C:$C, MATCH(A662, [1]Contracts!$A:$A, 0))))</f>
        <v/>
      </c>
    </row>
    <row r="663" spans="9:10">
      <c r="I663" s="3" t="str">
        <f t="shared" ca="1" si="11"/>
        <v/>
      </c>
      <c r="J663" s="3" t="str">
        <f>IF(OR(F663="",A663=""),"",AND(F663&gt;=INDEX([1]Contracts!$B:$B, MATCH(A663, [1]Contracts!$A:$A, 0)), F663&lt;=INDEX([1]Contracts!$C:$C, MATCH(A663, [1]Contracts!$A:$A, 0))))</f>
        <v/>
      </c>
    </row>
    <row r="664" spans="9:10">
      <c r="I664" s="3" t="str">
        <f t="shared" ca="1" si="11"/>
        <v/>
      </c>
      <c r="J664" s="3" t="str">
        <f>IF(OR(F664="",A664=""),"",AND(F664&gt;=INDEX([1]Contracts!$B:$B, MATCH(A664, [1]Contracts!$A:$A, 0)), F664&lt;=INDEX([1]Contracts!$C:$C, MATCH(A664, [1]Contracts!$A:$A, 0))))</f>
        <v/>
      </c>
    </row>
    <row r="665" spans="9:10">
      <c r="I665" s="3" t="str">
        <f t="shared" ca="1" si="11"/>
        <v/>
      </c>
      <c r="J665" s="3" t="str">
        <f>IF(OR(F665="",A665=""),"",AND(F665&gt;=INDEX([1]Contracts!$B:$B, MATCH(A665, [1]Contracts!$A:$A, 0)), F665&lt;=INDEX([1]Contracts!$C:$C, MATCH(A665, [1]Contracts!$A:$A, 0))))</f>
        <v/>
      </c>
    </row>
    <row r="666" spans="9:10">
      <c r="I666" s="3" t="str">
        <f t="shared" ca="1" si="11"/>
        <v/>
      </c>
      <c r="J666" s="3" t="str">
        <f>IF(OR(F666="",A666=""),"",AND(F666&gt;=INDEX([1]Contracts!$B:$B, MATCH(A666, [1]Contracts!$A:$A, 0)), F666&lt;=INDEX([1]Contracts!$C:$C, MATCH(A666, [1]Contracts!$A:$A, 0))))</f>
        <v/>
      </c>
    </row>
    <row r="667" spans="9:10">
      <c r="I667" s="3" t="str">
        <f t="shared" ca="1" si="11"/>
        <v/>
      </c>
      <c r="J667" s="3" t="str">
        <f>IF(OR(F667="",A667=""),"",AND(F667&gt;=INDEX([1]Contracts!$B:$B, MATCH(A667, [1]Contracts!$A:$A, 0)), F667&lt;=INDEX([1]Contracts!$C:$C, MATCH(A667, [1]Contracts!$A:$A, 0))))</f>
        <v/>
      </c>
    </row>
    <row r="668" spans="9:10">
      <c r="I668" s="3" t="str">
        <f t="shared" ca="1" si="11"/>
        <v/>
      </c>
      <c r="J668" s="3" t="str">
        <f>IF(OR(F668="",A668=""),"",AND(F668&gt;=INDEX([1]Contracts!$B:$B, MATCH(A668, [1]Contracts!$A:$A, 0)), F668&lt;=INDEX([1]Contracts!$C:$C, MATCH(A668, [1]Contracts!$A:$A, 0))))</f>
        <v/>
      </c>
    </row>
    <row r="669" spans="9:10">
      <c r="I669" s="3" t="str">
        <f t="shared" ca="1" si="11"/>
        <v/>
      </c>
      <c r="J669" s="3" t="str">
        <f>IF(OR(F669="",A669=""),"",AND(F669&gt;=INDEX([1]Contracts!$B:$B, MATCH(A669, [1]Contracts!$A:$A, 0)), F669&lt;=INDEX([1]Contracts!$C:$C, MATCH(A669, [1]Contracts!$A:$A, 0))))</f>
        <v/>
      </c>
    </row>
    <row r="670" spans="9:10">
      <c r="I670" s="3" t="str">
        <f t="shared" ca="1" si="11"/>
        <v/>
      </c>
      <c r="J670" s="3" t="str">
        <f>IF(OR(F670="",A670=""),"",AND(F670&gt;=INDEX([1]Contracts!$B:$B, MATCH(A670, [1]Contracts!$A:$A, 0)), F670&lt;=INDEX([1]Contracts!$C:$C, MATCH(A670, [1]Contracts!$A:$A, 0))))</f>
        <v/>
      </c>
    </row>
    <row r="671" spans="9:10">
      <c r="I671" s="3" t="str">
        <f t="shared" ca="1" si="11"/>
        <v/>
      </c>
      <c r="J671" s="3" t="str">
        <f>IF(OR(F671="",A671=""),"",AND(F671&gt;=INDEX([1]Contracts!$B:$B, MATCH(A671, [1]Contracts!$A:$A, 0)), F671&lt;=INDEX([1]Contracts!$C:$C, MATCH(A671, [1]Contracts!$A:$A, 0))))</f>
        <v/>
      </c>
    </row>
    <row r="672" spans="9:10">
      <c r="I672" s="3" t="str">
        <f t="shared" ca="1" si="11"/>
        <v/>
      </c>
      <c r="J672" s="3" t="str">
        <f>IF(OR(F672="",A672=""),"",AND(F672&gt;=INDEX([1]Contracts!$B:$B, MATCH(A672, [1]Contracts!$A:$A, 0)), F672&lt;=INDEX([1]Contracts!$C:$C, MATCH(A672, [1]Contracts!$A:$A, 0))))</f>
        <v/>
      </c>
    </row>
    <row r="673" spans="9:10">
      <c r="I673" s="3" t="str">
        <f t="shared" ca="1" si="11"/>
        <v/>
      </c>
      <c r="J673" s="3" t="str">
        <f>IF(OR(F673="",A673=""),"",AND(F673&gt;=INDEX([1]Contracts!$B:$B, MATCH(A673, [1]Contracts!$A:$A, 0)), F673&lt;=INDEX([1]Contracts!$C:$C, MATCH(A673, [1]Contracts!$A:$A, 0))))</f>
        <v/>
      </c>
    </row>
    <row r="674" spans="9:10">
      <c r="I674" s="3" t="str">
        <f t="shared" ca="1" si="11"/>
        <v/>
      </c>
      <c r="J674" s="3" t="str">
        <f>IF(OR(F674="",A674=""),"",AND(F674&gt;=INDEX([1]Contracts!$B:$B, MATCH(A674, [1]Contracts!$A:$A, 0)), F674&lt;=INDEX([1]Contracts!$C:$C, MATCH(A674, [1]Contracts!$A:$A, 0))))</f>
        <v/>
      </c>
    </row>
    <row r="675" spans="9:10">
      <c r="I675" s="3" t="str">
        <f t="shared" ca="1" si="11"/>
        <v/>
      </c>
      <c r="J675" s="3" t="str">
        <f>IF(OR(F675="",A675=""),"",AND(F675&gt;=INDEX([1]Contracts!$B:$B, MATCH(A675, [1]Contracts!$A:$A, 0)), F675&lt;=INDEX([1]Contracts!$C:$C, MATCH(A675, [1]Contracts!$A:$A, 0))))</f>
        <v/>
      </c>
    </row>
    <row r="676" spans="9:10">
      <c r="I676" s="3" t="str">
        <f t="shared" ca="1" si="11"/>
        <v/>
      </c>
      <c r="J676" s="3" t="str">
        <f>IF(OR(F676="",A676=""),"",AND(F676&gt;=INDEX([1]Contracts!$B:$B, MATCH(A676, [1]Contracts!$A:$A, 0)), F676&lt;=INDEX([1]Contracts!$C:$C, MATCH(A676, [1]Contracts!$A:$A, 0))))</f>
        <v/>
      </c>
    </row>
    <row r="677" spans="9:10">
      <c r="I677" s="3" t="str">
        <f t="shared" ca="1" si="11"/>
        <v/>
      </c>
      <c r="J677" s="3" t="str">
        <f>IF(OR(F677="",A677=""),"",AND(F677&gt;=INDEX([1]Contracts!$B:$B, MATCH(A677, [1]Contracts!$A:$A, 0)), F677&lt;=INDEX([1]Contracts!$C:$C, MATCH(A677, [1]Contracts!$A:$A, 0))))</f>
        <v/>
      </c>
    </row>
    <row r="678" spans="9:10">
      <c r="I678" s="3" t="str">
        <f t="shared" ca="1" si="11"/>
        <v/>
      </c>
      <c r="J678" s="3" t="str">
        <f>IF(OR(F678="",A678=""),"",AND(F678&gt;=INDEX([1]Contracts!$B:$B, MATCH(A678, [1]Contracts!$A:$A, 0)), F678&lt;=INDEX([1]Contracts!$C:$C, MATCH(A678, [1]Contracts!$A:$A, 0))))</f>
        <v/>
      </c>
    </row>
    <row r="679" spans="9:10">
      <c r="I679" s="3" t="str">
        <f t="shared" ca="1" si="11"/>
        <v/>
      </c>
      <c r="J679" s="3" t="str">
        <f>IF(OR(F679="",A679=""),"",AND(F679&gt;=INDEX([1]Contracts!$B:$B, MATCH(A679, [1]Contracts!$A:$A, 0)), F679&lt;=INDEX([1]Contracts!$C:$C, MATCH(A679, [1]Contracts!$A:$A, 0))))</f>
        <v/>
      </c>
    </row>
    <row r="680" spans="9:10">
      <c r="I680" s="3" t="str">
        <f t="shared" ca="1" si="11"/>
        <v/>
      </c>
      <c r="J680" s="3" t="str">
        <f>IF(OR(F680="",A680=""),"",AND(F680&gt;=INDEX([1]Contracts!$B:$B, MATCH(A680, [1]Contracts!$A:$A, 0)), F680&lt;=INDEX([1]Contracts!$C:$C, MATCH(A680, [1]Contracts!$A:$A, 0))))</f>
        <v/>
      </c>
    </row>
    <row r="681" spans="9:10">
      <c r="I681" s="3" t="str">
        <f t="shared" ca="1" si="11"/>
        <v/>
      </c>
      <c r="J681" s="3" t="str">
        <f>IF(OR(F681="",A681=""),"",AND(F681&gt;=INDEX([1]Contracts!$B:$B, MATCH(A681, [1]Contracts!$A:$A, 0)), F681&lt;=INDEX([1]Contracts!$C:$C, MATCH(A681, [1]Contracts!$A:$A, 0))))</f>
        <v/>
      </c>
    </row>
    <row r="682" spans="9:10">
      <c r="I682" s="3" t="str">
        <f t="shared" ca="1" si="11"/>
        <v/>
      </c>
      <c r="J682" s="3" t="str">
        <f>IF(OR(F682="",A682=""),"",AND(F682&gt;=INDEX([1]Contracts!$B:$B, MATCH(A682, [1]Contracts!$A:$A, 0)), F682&lt;=INDEX([1]Contracts!$C:$C, MATCH(A682, [1]Contracts!$A:$A, 0))))</f>
        <v/>
      </c>
    </row>
    <row r="683" spans="9:10">
      <c r="I683" s="3" t="str">
        <f t="shared" ca="1" si="11"/>
        <v/>
      </c>
      <c r="J683" s="3" t="str">
        <f>IF(OR(F683="",A683=""),"",AND(F683&gt;=INDEX([1]Contracts!$B:$B, MATCH(A683, [1]Contracts!$A:$A, 0)), F683&lt;=INDEX([1]Contracts!$C:$C, MATCH(A683, [1]Contracts!$A:$A, 0))))</f>
        <v/>
      </c>
    </row>
    <row r="684" spans="9:10">
      <c r="I684" s="3" t="str">
        <f t="shared" ca="1" si="11"/>
        <v/>
      </c>
      <c r="J684" s="3" t="str">
        <f>IF(OR(F684="",A684=""),"",AND(F684&gt;=INDEX([1]Contracts!$B:$B, MATCH(A684, [1]Contracts!$A:$A, 0)), F684&lt;=INDEX([1]Contracts!$C:$C, MATCH(A684, [1]Contracts!$A:$A, 0))))</f>
        <v/>
      </c>
    </row>
    <row r="685" spans="9:10">
      <c r="I685" s="3" t="str">
        <f t="shared" ca="1" si="11"/>
        <v/>
      </c>
      <c r="J685" s="3" t="str">
        <f>IF(OR(F685="",A685=""),"",AND(F685&gt;=INDEX([1]Contracts!$B:$B, MATCH(A685, [1]Contracts!$A:$A, 0)), F685&lt;=INDEX([1]Contracts!$C:$C, MATCH(A685, [1]Contracts!$A:$A, 0))))</f>
        <v/>
      </c>
    </row>
    <row r="686" spans="9:10">
      <c r="I686" s="3" t="str">
        <f t="shared" ca="1" si="11"/>
        <v/>
      </c>
      <c r="J686" s="3" t="str">
        <f>IF(OR(F686="",A686=""),"",AND(F686&gt;=INDEX([1]Contracts!$B:$B, MATCH(A686, [1]Contracts!$A:$A, 0)), F686&lt;=INDEX([1]Contracts!$C:$C, MATCH(A686, [1]Contracts!$A:$A, 0))))</f>
        <v/>
      </c>
    </row>
    <row r="687" spans="9:10">
      <c r="I687" s="3" t="str">
        <f t="shared" ca="1" si="11"/>
        <v/>
      </c>
      <c r="J687" s="3" t="str">
        <f>IF(OR(F687="",A687=""),"",AND(F687&gt;=INDEX([1]Contracts!$B:$B, MATCH(A687, [1]Contracts!$A:$A, 0)), F687&lt;=INDEX([1]Contracts!$C:$C, MATCH(A687, [1]Contracts!$A:$A, 0))))</f>
        <v/>
      </c>
    </row>
    <row r="688" spans="9:10">
      <c r="I688" s="3" t="str">
        <f t="shared" ca="1" si="11"/>
        <v/>
      </c>
      <c r="J688" s="3" t="str">
        <f>IF(OR(F688="",A688=""),"",AND(F688&gt;=INDEX([1]Contracts!$B:$B, MATCH(A688, [1]Contracts!$A:$A, 0)), F688&lt;=INDEX([1]Contracts!$C:$C, MATCH(A688, [1]Contracts!$A:$A, 0))))</f>
        <v/>
      </c>
    </row>
    <row r="689" spans="9:10">
      <c r="I689" s="3" t="str">
        <f t="shared" ca="1" si="11"/>
        <v/>
      </c>
      <c r="J689" s="3" t="str">
        <f>IF(OR(F689="",A689=""),"",AND(F689&gt;=INDEX([1]Contracts!$B:$B, MATCH(A689, [1]Contracts!$A:$A, 0)), F689&lt;=INDEX([1]Contracts!$C:$C, MATCH(A689, [1]Contracts!$A:$A, 0))))</f>
        <v/>
      </c>
    </row>
    <row r="690" spans="9:10">
      <c r="I690" s="3" t="str">
        <f t="shared" ca="1" si="11"/>
        <v/>
      </c>
      <c r="J690" s="3" t="str">
        <f>IF(OR(F690="",A690=""),"",AND(F690&gt;=INDEX([1]Contracts!$B:$B, MATCH(A690, [1]Contracts!$A:$A, 0)), F690&lt;=INDEX([1]Contracts!$C:$C, MATCH(A690, [1]Contracts!$A:$A, 0))))</f>
        <v/>
      </c>
    </row>
    <row r="691" spans="9:10">
      <c r="I691" s="3" t="str">
        <f t="shared" ca="1" si="11"/>
        <v/>
      </c>
      <c r="J691" s="3" t="str">
        <f>IF(OR(F691="",A691=""),"",AND(F691&gt;=INDEX([1]Contracts!$B:$B, MATCH(A691, [1]Contracts!$A:$A, 0)), F691&lt;=INDEX([1]Contracts!$C:$C, MATCH(A691, [1]Contracts!$A:$A, 0))))</f>
        <v/>
      </c>
    </row>
    <row r="692" spans="9:10">
      <c r="I692" s="3" t="str">
        <f t="shared" ca="1" si="11"/>
        <v/>
      </c>
      <c r="J692" s="3" t="str">
        <f>IF(OR(F692="",A692=""),"",AND(F692&gt;=INDEX([1]Contracts!$B:$B, MATCH(A692, [1]Contracts!$A:$A, 0)), F692&lt;=INDEX([1]Contracts!$C:$C, MATCH(A692, [1]Contracts!$A:$A, 0))))</f>
        <v/>
      </c>
    </row>
    <row r="693" spans="9:10">
      <c r="I693" s="3" t="str">
        <f t="shared" ca="1" si="11"/>
        <v/>
      </c>
      <c r="J693" s="3" t="str">
        <f>IF(OR(F693="",A693=""),"",AND(F693&gt;=INDEX([1]Contracts!$B:$B, MATCH(A693, [1]Contracts!$A:$A, 0)), F693&lt;=INDEX([1]Contracts!$C:$C, MATCH(A693, [1]Contracts!$A:$A, 0))))</f>
        <v/>
      </c>
    </row>
    <row r="694" spans="9:10">
      <c r="I694" s="3" t="str">
        <f t="shared" ca="1" si="11"/>
        <v/>
      </c>
      <c r="J694" s="3" t="str">
        <f>IF(OR(F694="",A694=""),"",AND(F694&gt;=INDEX([1]Contracts!$B:$B, MATCH(A694, [1]Contracts!$A:$A, 0)), F694&lt;=INDEX([1]Contracts!$C:$C, MATCH(A694, [1]Contracts!$A:$A, 0))))</f>
        <v/>
      </c>
    </row>
    <row r="695" spans="9:10">
      <c r="I695" s="3" t="str">
        <f t="shared" ca="1" si="11"/>
        <v/>
      </c>
      <c r="J695" s="3" t="str">
        <f>IF(OR(F695="",A695=""),"",AND(F695&gt;=INDEX([1]Contracts!$B:$B, MATCH(A695, [1]Contracts!$A:$A, 0)), F695&lt;=INDEX([1]Contracts!$C:$C, MATCH(A695, [1]Contracts!$A:$A, 0))))</f>
        <v/>
      </c>
    </row>
    <row r="696" spans="9:10">
      <c r="I696" s="3" t="str">
        <f t="shared" ca="1" si="11"/>
        <v/>
      </c>
      <c r="J696" s="3" t="str">
        <f>IF(OR(F696="",A696=""),"",AND(F696&gt;=INDEX([1]Contracts!$B:$B, MATCH(A696, [1]Contracts!$A:$A, 0)), F696&lt;=INDEX([1]Contracts!$C:$C, MATCH(A696, [1]Contracts!$A:$A, 0))))</f>
        <v/>
      </c>
    </row>
    <row r="697" spans="9:10">
      <c r="I697" s="3" t="str">
        <f t="shared" ca="1" si="11"/>
        <v/>
      </c>
      <c r="J697" s="3" t="str">
        <f>IF(OR(F697="",A697=""),"",AND(F697&gt;=INDEX([1]Contracts!$B:$B, MATCH(A697, [1]Contracts!$A:$A, 0)), F697&lt;=INDEX([1]Contracts!$C:$C, MATCH(A697, [1]Contracts!$A:$A, 0))))</f>
        <v/>
      </c>
    </row>
    <row r="698" spans="9:10">
      <c r="I698" s="3" t="str">
        <f t="shared" ca="1" si="11"/>
        <v/>
      </c>
      <c r="J698" s="3" t="str">
        <f>IF(OR(F698="",A698=""),"",AND(F698&gt;=INDEX([1]Contracts!$B:$B, MATCH(A698, [1]Contracts!$A:$A, 0)), F698&lt;=INDEX([1]Contracts!$C:$C, MATCH(A698, [1]Contracts!$A:$A, 0))))</f>
        <v/>
      </c>
    </row>
    <row r="699" spans="9:10">
      <c r="I699" s="3" t="str">
        <f t="shared" ca="1" si="11"/>
        <v/>
      </c>
      <c r="J699" s="3" t="str">
        <f>IF(OR(F699="",A699=""),"",AND(F699&gt;=INDEX([1]Contracts!$B:$B, MATCH(A699, [1]Contracts!$A:$A, 0)), F699&lt;=INDEX([1]Contracts!$C:$C, MATCH(A699, [1]Contracts!$A:$A, 0))))</f>
        <v/>
      </c>
    </row>
    <row r="700" spans="9:10">
      <c r="I700" s="3" t="str">
        <f t="shared" ca="1" si="11"/>
        <v/>
      </c>
      <c r="J700" s="3" t="str">
        <f>IF(OR(F700="",A700=""),"",AND(F700&gt;=INDEX([1]Contracts!$B:$B, MATCH(A700, [1]Contracts!$A:$A, 0)), F700&lt;=INDEX([1]Contracts!$C:$C, MATCH(A700, [1]Contracts!$A:$A, 0))))</f>
        <v/>
      </c>
    </row>
    <row r="701" spans="9:10">
      <c r="I701" s="3" t="str">
        <f t="shared" ca="1" si="11"/>
        <v/>
      </c>
      <c r="J701" s="3" t="str">
        <f>IF(OR(F701="",A701=""),"",AND(F701&gt;=INDEX([1]Contracts!$B:$B, MATCH(A701, [1]Contracts!$A:$A, 0)), F701&lt;=INDEX([1]Contracts!$C:$C, MATCH(A701, [1]Contracts!$A:$A, 0))))</f>
        <v/>
      </c>
    </row>
    <row r="702" spans="9:10">
      <c r="I702" s="3" t="str">
        <f t="shared" ca="1" si="11"/>
        <v/>
      </c>
      <c r="J702" s="3" t="str">
        <f>IF(OR(F702="",A702=""),"",AND(F702&gt;=INDEX([1]Contracts!$B:$B, MATCH(A702, [1]Contracts!$A:$A, 0)), F702&lt;=INDEX([1]Contracts!$C:$C, MATCH(A702, [1]Contracts!$A:$A, 0))))</f>
        <v/>
      </c>
    </row>
    <row r="703" spans="9:10">
      <c r="I703" s="3" t="str">
        <f t="shared" ca="1" si="11"/>
        <v/>
      </c>
      <c r="J703" s="3" t="str">
        <f>IF(OR(F703="",A703=""),"",AND(F703&gt;=INDEX([1]Contracts!$B:$B, MATCH(A703, [1]Contracts!$A:$A, 0)), F703&lt;=INDEX([1]Contracts!$C:$C, MATCH(A703, [1]Contracts!$A:$A, 0))))</f>
        <v/>
      </c>
    </row>
    <row r="704" spans="9:10">
      <c r="I704" s="3" t="str">
        <f t="shared" ca="1" si="11"/>
        <v/>
      </c>
      <c r="J704" s="3" t="str">
        <f>IF(OR(F704="",A704=""),"",AND(F704&gt;=INDEX([1]Contracts!$B:$B, MATCH(A704, [1]Contracts!$A:$A, 0)), F704&lt;=INDEX([1]Contracts!$C:$C, MATCH(A704, [1]Contracts!$A:$A, 0))))</f>
        <v/>
      </c>
    </row>
    <row r="705" spans="9:10">
      <c r="I705" s="3" t="str">
        <f t="shared" ca="1" si="11"/>
        <v/>
      </c>
      <c r="J705" s="3" t="str">
        <f>IF(OR(F705="",A705=""),"",AND(F705&gt;=INDEX([1]Contracts!$B:$B, MATCH(A705, [1]Contracts!$A:$A, 0)), F705&lt;=INDEX([1]Contracts!$C:$C, MATCH(A705, [1]Contracts!$A:$A, 0))))</f>
        <v/>
      </c>
    </row>
    <row r="706" spans="9:10">
      <c r="I706" s="3" t="str">
        <f t="shared" ca="1" si="11"/>
        <v/>
      </c>
      <c r="J706" s="3" t="str">
        <f>IF(OR(F706="",A706=""),"",AND(F706&gt;=INDEX([1]Contracts!$B:$B, MATCH(A706, [1]Contracts!$A:$A, 0)), F706&lt;=INDEX([1]Contracts!$C:$C, MATCH(A706, [1]Contracts!$A:$A, 0))))</f>
        <v/>
      </c>
    </row>
    <row r="707" spans="9:10">
      <c r="I707" s="3" t="str">
        <f t="shared" ca="1" si="11"/>
        <v/>
      </c>
      <c r="J707" s="3" t="str">
        <f>IF(OR(F707="",A707=""),"",AND(F707&gt;=INDEX([1]Contracts!$B:$B, MATCH(A707, [1]Contracts!$A:$A, 0)), F707&lt;=INDEX([1]Contracts!$C:$C, MATCH(A707, [1]Contracts!$A:$A, 0))))</f>
        <v/>
      </c>
    </row>
    <row r="708" spans="9:10">
      <c r="I708" s="3" t="str">
        <f t="shared" ca="1" si="11"/>
        <v/>
      </c>
      <c r="J708" s="3" t="str">
        <f>IF(OR(F708="",A708=""),"",AND(F708&gt;=INDEX([1]Contracts!$B:$B, MATCH(A708, [1]Contracts!$A:$A, 0)), F708&lt;=INDEX([1]Contracts!$C:$C, MATCH(A708, [1]Contracts!$A:$A, 0))))</f>
        <v/>
      </c>
    </row>
    <row r="709" spans="9:10">
      <c r="I709" s="3" t="str">
        <f t="shared" ca="1" si="11"/>
        <v/>
      </c>
      <c r="J709" s="3" t="str">
        <f>IF(OR(F709="",A709=""),"",AND(F709&gt;=INDEX([1]Contracts!$B:$B, MATCH(A709, [1]Contracts!$A:$A, 0)), F709&lt;=INDEX([1]Contracts!$C:$C, MATCH(A709, [1]Contracts!$A:$A, 0))))</f>
        <v/>
      </c>
    </row>
    <row r="710" spans="9:10">
      <c r="I710" s="3" t="str">
        <f t="shared" ca="1" si="11"/>
        <v/>
      </c>
      <c r="J710" s="3" t="str">
        <f>IF(OR(F710="",A710=""),"",AND(F710&gt;=INDEX([1]Contracts!$B:$B, MATCH(A710, [1]Contracts!$A:$A, 0)), F710&lt;=INDEX([1]Contracts!$C:$C, MATCH(A710, [1]Contracts!$A:$A, 0))))</f>
        <v/>
      </c>
    </row>
    <row r="711" spans="9:10">
      <c r="I711" s="3" t="str">
        <f t="shared" ca="1" si="11"/>
        <v/>
      </c>
      <c r="J711" s="3" t="str">
        <f>IF(OR(F711="",A711=""),"",AND(F711&gt;=INDEX([1]Contracts!$B:$B, MATCH(A711, [1]Contracts!$A:$A, 0)), F711&lt;=INDEX([1]Contracts!$C:$C, MATCH(A711, [1]Contracts!$A:$A, 0))))</f>
        <v/>
      </c>
    </row>
    <row r="712" spans="9:10">
      <c r="I712" s="3" t="str">
        <f t="shared" ref="I712:I775" ca="1" si="12">IF(F712="","",F712-TODAY())</f>
        <v/>
      </c>
      <c r="J712" s="3" t="str">
        <f>IF(OR(F712="",A712=""),"",AND(F712&gt;=INDEX([1]Contracts!$B:$B, MATCH(A712, [1]Contracts!$A:$A, 0)), F712&lt;=INDEX([1]Contracts!$C:$C, MATCH(A712, [1]Contracts!$A:$A, 0))))</f>
        <v/>
      </c>
    </row>
    <row r="713" spans="9:10">
      <c r="I713" s="3" t="str">
        <f t="shared" ca="1" si="12"/>
        <v/>
      </c>
      <c r="J713" s="3" t="str">
        <f>IF(OR(F713="",A713=""),"",AND(F713&gt;=INDEX([1]Contracts!$B:$B, MATCH(A713, [1]Contracts!$A:$A, 0)), F713&lt;=INDEX([1]Contracts!$C:$C, MATCH(A713, [1]Contracts!$A:$A, 0))))</f>
        <v/>
      </c>
    </row>
    <row r="714" spans="9:10">
      <c r="I714" s="3" t="str">
        <f t="shared" ca="1" si="12"/>
        <v/>
      </c>
      <c r="J714" s="3" t="str">
        <f>IF(OR(F714="",A714=""),"",AND(F714&gt;=INDEX([1]Contracts!$B:$B, MATCH(A714, [1]Contracts!$A:$A, 0)), F714&lt;=INDEX([1]Contracts!$C:$C, MATCH(A714, [1]Contracts!$A:$A, 0))))</f>
        <v/>
      </c>
    </row>
    <row r="715" spans="9:10">
      <c r="I715" s="3" t="str">
        <f t="shared" ca="1" si="12"/>
        <v/>
      </c>
      <c r="J715" s="3" t="str">
        <f>IF(OR(F715="",A715=""),"",AND(F715&gt;=INDEX([1]Contracts!$B:$B, MATCH(A715, [1]Contracts!$A:$A, 0)), F715&lt;=INDEX([1]Contracts!$C:$C, MATCH(A715, [1]Contracts!$A:$A, 0))))</f>
        <v/>
      </c>
    </row>
    <row r="716" spans="9:10">
      <c r="I716" s="3" t="str">
        <f t="shared" ca="1" si="12"/>
        <v/>
      </c>
      <c r="J716" s="3" t="str">
        <f>IF(OR(F716="",A716=""),"",AND(F716&gt;=INDEX([1]Contracts!$B:$B, MATCH(A716, [1]Contracts!$A:$A, 0)), F716&lt;=INDEX([1]Contracts!$C:$C, MATCH(A716, [1]Contracts!$A:$A, 0))))</f>
        <v/>
      </c>
    </row>
    <row r="717" spans="9:10">
      <c r="I717" s="3" t="str">
        <f t="shared" ca="1" si="12"/>
        <v/>
      </c>
      <c r="J717" s="3" t="str">
        <f>IF(OR(F717="",A717=""),"",AND(F717&gt;=INDEX([1]Contracts!$B:$B, MATCH(A717, [1]Contracts!$A:$A, 0)), F717&lt;=INDEX([1]Contracts!$C:$C, MATCH(A717, [1]Contracts!$A:$A, 0))))</f>
        <v/>
      </c>
    </row>
    <row r="718" spans="9:10">
      <c r="I718" s="3" t="str">
        <f t="shared" ca="1" si="12"/>
        <v/>
      </c>
      <c r="J718" s="3" t="str">
        <f>IF(OR(F718="",A718=""),"",AND(F718&gt;=INDEX([1]Contracts!$B:$B, MATCH(A718, [1]Contracts!$A:$A, 0)), F718&lt;=INDEX([1]Contracts!$C:$C, MATCH(A718, [1]Contracts!$A:$A, 0))))</f>
        <v/>
      </c>
    </row>
    <row r="719" spans="9:10">
      <c r="I719" s="3" t="str">
        <f t="shared" ca="1" si="12"/>
        <v/>
      </c>
      <c r="J719" s="3" t="str">
        <f>IF(OR(F719="",A719=""),"",AND(F719&gt;=INDEX([1]Contracts!$B:$B, MATCH(A719, [1]Contracts!$A:$A, 0)), F719&lt;=INDEX([1]Contracts!$C:$C, MATCH(A719, [1]Contracts!$A:$A, 0))))</f>
        <v/>
      </c>
    </row>
    <row r="720" spans="9:10">
      <c r="I720" s="3" t="str">
        <f t="shared" ca="1" si="12"/>
        <v/>
      </c>
      <c r="J720" s="3" t="str">
        <f>IF(OR(F720="",A720=""),"",AND(F720&gt;=INDEX([1]Contracts!$B:$B, MATCH(A720, [1]Contracts!$A:$A, 0)), F720&lt;=INDEX([1]Contracts!$C:$C, MATCH(A720, [1]Contracts!$A:$A, 0))))</f>
        <v/>
      </c>
    </row>
    <row r="721" spans="9:10">
      <c r="I721" s="3" t="str">
        <f t="shared" ca="1" si="12"/>
        <v/>
      </c>
      <c r="J721" s="3" t="str">
        <f>IF(OR(F721="",A721=""),"",AND(F721&gt;=INDEX([1]Contracts!$B:$B, MATCH(A721, [1]Contracts!$A:$A, 0)), F721&lt;=INDEX([1]Contracts!$C:$C, MATCH(A721, [1]Contracts!$A:$A, 0))))</f>
        <v/>
      </c>
    </row>
    <row r="722" spans="9:10">
      <c r="I722" s="3" t="str">
        <f t="shared" ca="1" si="12"/>
        <v/>
      </c>
      <c r="J722" s="3" t="str">
        <f>IF(OR(F722="",A722=""),"",AND(F722&gt;=INDEX([1]Contracts!$B:$B, MATCH(A722, [1]Contracts!$A:$A, 0)), F722&lt;=INDEX([1]Contracts!$C:$C, MATCH(A722, [1]Contracts!$A:$A, 0))))</f>
        <v/>
      </c>
    </row>
    <row r="723" spans="9:10">
      <c r="I723" s="3" t="str">
        <f t="shared" ca="1" si="12"/>
        <v/>
      </c>
      <c r="J723" s="3" t="str">
        <f>IF(OR(F723="",A723=""),"",AND(F723&gt;=INDEX([1]Contracts!$B:$B, MATCH(A723, [1]Contracts!$A:$A, 0)), F723&lt;=INDEX([1]Contracts!$C:$C, MATCH(A723, [1]Contracts!$A:$A, 0))))</f>
        <v/>
      </c>
    </row>
    <row r="724" spans="9:10">
      <c r="I724" s="3" t="str">
        <f t="shared" ca="1" si="12"/>
        <v/>
      </c>
      <c r="J724" s="3" t="str">
        <f>IF(OR(F724="",A724=""),"",AND(F724&gt;=INDEX([1]Contracts!$B:$B, MATCH(A724, [1]Contracts!$A:$A, 0)), F724&lt;=INDEX([1]Contracts!$C:$C, MATCH(A724, [1]Contracts!$A:$A, 0))))</f>
        <v/>
      </c>
    </row>
    <row r="725" spans="9:10">
      <c r="I725" s="3" t="str">
        <f t="shared" ca="1" si="12"/>
        <v/>
      </c>
      <c r="J725" s="3" t="str">
        <f>IF(OR(F725="",A725=""),"",AND(F725&gt;=INDEX([1]Contracts!$B:$B, MATCH(A725, [1]Contracts!$A:$A, 0)), F725&lt;=INDEX([1]Contracts!$C:$C, MATCH(A725, [1]Contracts!$A:$A, 0))))</f>
        <v/>
      </c>
    </row>
    <row r="726" spans="9:10">
      <c r="I726" s="3" t="str">
        <f t="shared" ca="1" si="12"/>
        <v/>
      </c>
      <c r="J726" s="3" t="str">
        <f>IF(OR(F726="",A726=""),"",AND(F726&gt;=INDEX([1]Contracts!$B:$B, MATCH(A726, [1]Contracts!$A:$A, 0)), F726&lt;=INDEX([1]Contracts!$C:$C, MATCH(A726, [1]Contracts!$A:$A, 0))))</f>
        <v/>
      </c>
    </row>
    <row r="727" spans="9:10">
      <c r="I727" s="3" t="str">
        <f t="shared" ca="1" si="12"/>
        <v/>
      </c>
      <c r="J727" s="3" t="str">
        <f>IF(OR(F727="",A727=""),"",AND(F727&gt;=INDEX([1]Contracts!$B:$B, MATCH(A727, [1]Contracts!$A:$A, 0)), F727&lt;=INDEX([1]Contracts!$C:$C, MATCH(A727, [1]Contracts!$A:$A, 0))))</f>
        <v/>
      </c>
    </row>
    <row r="728" spans="9:10">
      <c r="I728" s="3" t="str">
        <f t="shared" ca="1" si="12"/>
        <v/>
      </c>
      <c r="J728" s="3" t="str">
        <f>IF(OR(F728="",A728=""),"",AND(F728&gt;=INDEX([1]Contracts!$B:$B, MATCH(A728, [1]Contracts!$A:$A, 0)), F728&lt;=INDEX([1]Contracts!$C:$C, MATCH(A728, [1]Contracts!$A:$A, 0))))</f>
        <v/>
      </c>
    </row>
    <row r="729" spans="9:10">
      <c r="I729" s="3" t="str">
        <f t="shared" ca="1" si="12"/>
        <v/>
      </c>
      <c r="J729" s="3" t="str">
        <f>IF(OR(F729="",A729=""),"",AND(F729&gt;=INDEX([1]Contracts!$B:$B, MATCH(A729, [1]Contracts!$A:$A, 0)), F729&lt;=INDEX([1]Contracts!$C:$C, MATCH(A729, [1]Contracts!$A:$A, 0))))</f>
        <v/>
      </c>
    </row>
    <row r="730" spans="9:10">
      <c r="I730" s="3" t="str">
        <f t="shared" ca="1" si="12"/>
        <v/>
      </c>
      <c r="J730" s="3" t="str">
        <f>IF(OR(F730="",A730=""),"",AND(F730&gt;=INDEX([1]Contracts!$B:$B, MATCH(A730, [1]Contracts!$A:$A, 0)), F730&lt;=INDEX([1]Contracts!$C:$C, MATCH(A730, [1]Contracts!$A:$A, 0))))</f>
        <v/>
      </c>
    </row>
    <row r="731" spans="9:10">
      <c r="I731" s="3" t="str">
        <f t="shared" ca="1" si="12"/>
        <v/>
      </c>
      <c r="J731" s="3" t="str">
        <f>IF(OR(F731="",A731=""),"",AND(F731&gt;=INDEX([1]Contracts!$B:$B, MATCH(A731, [1]Contracts!$A:$A, 0)), F731&lt;=INDEX([1]Contracts!$C:$C, MATCH(A731, [1]Contracts!$A:$A, 0))))</f>
        <v/>
      </c>
    </row>
    <row r="732" spans="9:10">
      <c r="I732" s="3" t="str">
        <f t="shared" ca="1" si="12"/>
        <v/>
      </c>
      <c r="J732" s="3" t="str">
        <f>IF(OR(F732="",A732=""),"",AND(F732&gt;=INDEX([1]Contracts!$B:$B, MATCH(A732, [1]Contracts!$A:$A, 0)), F732&lt;=INDEX([1]Contracts!$C:$C, MATCH(A732, [1]Contracts!$A:$A, 0))))</f>
        <v/>
      </c>
    </row>
    <row r="733" spans="9:10">
      <c r="I733" s="3" t="str">
        <f t="shared" ca="1" si="12"/>
        <v/>
      </c>
      <c r="J733" s="3" t="str">
        <f>IF(OR(F733="",A733=""),"",AND(F733&gt;=INDEX([1]Contracts!$B:$B, MATCH(A733, [1]Contracts!$A:$A, 0)), F733&lt;=INDEX([1]Contracts!$C:$C, MATCH(A733, [1]Contracts!$A:$A, 0))))</f>
        <v/>
      </c>
    </row>
    <row r="734" spans="9:10">
      <c r="I734" s="3" t="str">
        <f t="shared" ca="1" si="12"/>
        <v/>
      </c>
      <c r="J734" s="3" t="str">
        <f>IF(OR(F734="",A734=""),"",AND(F734&gt;=INDEX([1]Contracts!$B:$B, MATCH(A734, [1]Contracts!$A:$A, 0)), F734&lt;=INDEX([1]Contracts!$C:$C, MATCH(A734, [1]Contracts!$A:$A, 0))))</f>
        <v/>
      </c>
    </row>
    <row r="735" spans="9:10">
      <c r="I735" s="3" t="str">
        <f t="shared" ca="1" si="12"/>
        <v/>
      </c>
      <c r="J735" s="3" t="str">
        <f>IF(OR(F735="",A735=""),"",AND(F735&gt;=INDEX([1]Contracts!$B:$B, MATCH(A735, [1]Contracts!$A:$A, 0)), F735&lt;=INDEX([1]Contracts!$C:$C, MATCH(A735, [1]Contracts!$A:$A, 0))))</f>
        <v/>
      </c>
    </row>
    <row r="736" spans="9:10">
      <c r="I736" s="3" t="str">
        <f t="shared" ca="1" si="12"/>
        <v/>
      </c>
      <c r="J736" s="3" t="str">
        <f>IF(OR(F736="",A736=""),"",AND(F736&gt;=INDEX([1]Contracts!$B:$B, MATCH(A736, [1]Contracts!$A:$A, 0)), F736&lt;=INDEX([1]Contracts!$C:$C, MATCH(A736, [1]Contracts!$A:$A, 0))))</f>
        <v/>
      </c>
    </row>
    <row r="737" spans="9:10">
      <c r="I737" s="3" t="str">
        <f t="shared" ca="1" si="12"/>
        <v/>
      </c>
      <c r="J737" s="3" t="str">
        <f>IF(OR(F737="",A737=""),"",AND(F737&gt;=INDEX([1]Contracts!$B:$B, MATCH(A737, [1]Contracts!$A:$A, 0)), F737&lt;=INDEX([1]Contracts!$C:$C, MATCH(A737, [1]Contracts!$A:$A, 0))))</f>
        <v/>
      </c>
    </row>
    <row r="738" spans="9:10">
      <c r="I738" s="3" t="str">
        <f t="shared" ca="1" si="12"/>
        <v/>
      </c>
      <c r="J738" s="3" t="str">
        <f>IF(OR(F738="",A738=""),"",AND(F738&gt;=INDEX([1]Contracts!$B:$B, MATCH(A738, [1]Contracts!$A:$A, 0)), F738&lt;=INDEX([1]Contracts!$C:$C, MATCH(A738, [1]Contracts!$A:$A, 0))))</f>
        <v/>
      </c>
    </row>
    <row r="739" spans="9:10">
      <c r="I739" s="3" t="str">
        <f t="shared" ca="1" si="12"/>
        <v/>
      </c>
      <c r="J739" s="3" t="str">
        <f>IF(OR(F739="",A739=""),"",AND(F739&gt;=INDEX([1]Contracts!$B:$B, MATCH(A739, [1]Contracts!$A:$A, 0)), F739&lt;=INDEX([1]Contracts!$C:$C, MATCH(A739, [1]Contracts!$A:$A, 0))))</f>
        <v/>
      </c>
    </row>
    <row r="740" spans="9:10">
      <c r="I740" s="3" t="str">
        <f t="shared" ca="1" si="12"/>
        <v/>
      </c>
      <c r="J740" s="3" t="str">
        <f>IF(OR(F740="",A740=""),"",AND(F740&gt;=INDEX([1]Contracts!$B:$B, MATCH(A740, [1]Contracts!$A:$A, 0)), F740&lt;=INDEX([1]Contracts!$C:$C, MATCH(A740, [1]Contracts!$A:$A, 0))))</f>
        <v/>
      </c>
    </row>
    <row r="741" spans="9:10">
      <c r="I741" s="3" t="str">
        <f t="shared" ca="1" si="12"/>
        <v/>
      </c>
      <c r="J741" s="3" t="str">
        <f>IF(OR(F741="",A741=""),"",AND(F741&gt;=INDEX([1]Contracts!$B:$B, MATCH(A741, [1]Contracts!$A:$A, 0)), F741&lt;=INDEX([1]Contracts!$C:$C, MATCH(A741, [1]Contracts!$A:$A, 0))))</f>
        <v/>
      </c>
    </row>
    <row r="742" spans="9:10">
      <c r="I742" s="3" t="str">
        <f t="shared" ca="1" si="12"/>
        <v/>
      </c>
      <c r="J742" s="3" t="str">
        <f>IF(OR(F742="",A742=""),"",AND(F742&gt;=INDEX([1]Contracts!$B:$B, MATCH(A742, [1]Contracts!$A:$A, 0)), F742&lt;=INDEX([1]Contracts!$C:$C, MATCH(A742, [1]Contracts!$A:$A, 0))))</f>
        <v/>
      </c>
    </row>
    <row r="743" spans="9:10">
      <c r="I743" s="3" t="str">
        <f t="shared" ca="1" si="12"/>
        <v/>
      </c>
      <c r="J743" s="3" t="str">
        <f>IF(OR(F743="",A743=""),"",AND(F743&gt;=INDEX([1]Contracts!$B:$B, MATCH(A743, [1]Contracts!$A:$A, 0)), F743&lt;=INDEX([1]Contracts!$C:$C, MATCH(A743, [1]Contracts!$A:$A, 0))))</f>
        <v/>
      </c>
    </row>
    <row r="744" spans="9:10">
      <c r="I744" s="3" t="str">
        <f t="shared" ca="1" si="12"/>
        <v/>
      </c>
      <c r="J744" s="3" t="str">
        <f>IF(OR(F744="",A744=""),"",AND(F744&gt;=INDEX([1]Contracts!$B:$B, MATCH(A744, [1]Contracts!$A:$A, 0)), F744&lt;=INDEX([1]Contracts!$C:$C, MATCH(A744, [1]Contracts!$A:$A, 0))))</f>
        <v/>
      </c>
    </row>
    <row r="745" spans="9:10">
      <c r="I745" s="3" t="str">
        <f t="shared" ca="1" si="12"/>
        <v/>
      </c>
      <c r="J745" s="3" t="str">
        <f>IF(OR(F745="",A745=""),"",AND(F745&gt;=INDEX([1]Contracts!$B:$B, MATCH(A745, [1]Contracts!$A:$A, 0)), F745&lt;=INDEX([1]Contracts!$C:$C, MATCH(A745, [1]Contracts!$A:$A, 0))))</f>
        <v/>
      </c>
    </row>
    <row r="746" spans="9:10">
      <c r="I746" s="3" t="str">
        <f t="shared" ca="1" si="12"/>
        <v/>
      </c>
      <c r="J746" s="3" t="str">
        <f>IF(OR(F746="",A746=""),"",AND(F746&gt;=INDEX([1]Contracts!$B:$B, MATCH(A746, [1]Contracts!$A:$A, 0)), F746&lt;=INDEX([1]Contracts!$C:$C, MATCH(A746, [1]Contracts!$A:$A, 0))))</f>
        <v/>
      </c>
    </row>
    <row r="747" spans="9:10">
      <c r="I747" s="3" t="str">
        <f t="shared" ca="1" si="12"/>
        <v/>
      </c>
      <c r="J747" s="3" t="str">
        <f>IF(OR(F747="",A747=""),"",AND(F747&gt;=INDEX([1]Contracts!$B:$B, MATCH(A747, [1]Contracts!$A:$A, 0)), F747&lt;=INDEX([1]Contracts!$C:$C, MATCH(A747, [1]Contracts!$A:$A, 0))))</f>
        <v/>
      </c>
    </row>
    <row r="748" spans="9:10">
      <c r="I748" s="3" t="str">
        <f t="shared" ca="1" si="12"/>
        <v/>
      </c>
      <c r="J748" s="3" t="str">
        <f>IF(OR(F748="",A748=""),"",AND(F748&gt;=INDEX([1]Contracts!$B:$B, MATCH(A748, [1]Contracts!$A:$A, 0)), F748&lt;=INDEX([1]Contracts!$C:$C, MATCH(A748, [1]Contracts!$A:$A, 0))))</f>
        <v/>
      </c>
    </row>
    <row r="749" spans="9:10">
      <c r="I749" s="3" t="str">
        <f t="shared" ca="1" si="12"/>
        <v/>
      </c>
      <c r="J749" s="3" t="str">
        <f>IF(OR(F749="",A749=""),"",AND(F749&gt;=INDEX([1]Contracts!$B:$B, MATCH(A749, [1]Contracts!$A:$A, 0)), F749&lt;=INDEX([1]Contracts!$C:$C, MATCH(A749, [1]Contracts!$A:$A, 0))))</f>
        <v/>
      </c>
    </row>
    <row r="750" spans="9:10">
      <c r="I750" s="3" t="str">
        <f t="shared" ca="1" si="12"/>
        <v/>
      </c>
      <c r="J750" s="3" t="str">
        <f>IF(OR(F750="",A750=""),"",AND(F750&gt;=INDEX([1]Contracts!$B:$B, MATCH(A750, [1]Contracts!$A:$A, 0)), F750&lt;=INDEX([1]Contracts!$C:$C, MATCH(A750, [1]Contracts!$A:$A, 0))))</f>
        <v/>
      </c>
    </row>
    <row r="751" spans="9:10">
      <c r="I751" s="3" t="str">
        <f t="shared" ca="1" si="12"/>
        <v/>
      </c>
      <c r="J751" s="3" t="str">
        <f>IF(OR(F751="",A751=""),"",AND(F751&gt;=INDEX([1]Contracts!$B:$B, MATCH(A751, [1]Contracts!$A:$A, 0)), F751&lt;=INDEX([1]Contracts!$C:$C, MATCH(A751, [1]Contracts!$A:$A, 0))))</f>
        <v/>
      </c>
    </row>
    <row r="752" spans="9:10">
      <c r="I752" s="3" t="str">
        <f t="shared" ca="1" si="12"/>
        <v/>
      </c>
      <c r="J752" s="3" t="str">
        <f>IF(OR(F752="",A752=""),"",AND(F752&gt;=INDEX([1]Contracts!$B:$B, MATCH(A752, [1]Contracts!$A:$A, 0)), F752&lt;=INDEX([1]Contracts!$C:$C, MATCH(A752, [1]Contracts!$A:$A, 0))))</f>
        <v/>
      </c>
    </row>
    <row r="753" spans="9:10">
      <c r="I753" s="3" t="str">
        <f t="shared" ca="1" si="12"/>
        <v/>
      </c>
      <c r="J753" s="3" t="str">
        <f>IF(OR(F753="",A753=""),"",AND(F753&gt;=INDEX([1]Contracts!$B:$B, MATCH(A753, [1]Contracts!$A:$A, 0)), F753&lt;=INDEX([1]Contracts!$C:$C, MATCH(A753, [1]Contracts!$A:$A, 0))))</f>
        <v/>
      </c>
    </row>
    <row r="754" spans="9:10">
      <c r="I754" s="3" t="str">
        <f t="shared" ca="1" si="12"/>
        <v/>
      </c>
      <c r="J754" s="3" t="str">
        <f>IF(OR(F754="",A754=""),"",AND(F754&gt;=INDEX([1]Contracts!$B:$B, MATCH(A754, [1]Contracts!$A:$A, 0)), F754&lt;=INDEX([1]Contracts!$C:$C, MATCH(A754, [1]Contracts!$A:$A, 0))))</f>
        <v/>
      </c>
    </row>
    <row r="755" spans="9:10">
      <c r="I755" s="3" t="str">
        <f t="shared" ca="1" si="12"/>
        <v/>
      </c>
      <c r="J755" s="3" t="str">
        <f>IF(OR(F755="",A755=""),"",AND(F755&gt;=INDEX([1]Contracts!$B:$B, MATCH(A755, [1]Contracts!$A:$A, 0)), F755&lt;=INDEX([1]Contracts!$C:$C, MATCH(A755, [1]Contracts!$A:$A, 0))))</f>
        <v/>
      </c>
    </row>
    <row r="756" spans="9:10">
      <c r="I756" s="3" t="str">
        <f t="shared" ca="1" si="12"/>
        <v/>
      </c>
      <c r="J756" s="3" t="str">
        <f>IF(OR(F756="",A756=""),"",AND(F756&gt;=INDEX([1]Contracts!$B:$B, MATCH(A756, [1]Contracts!$A:$A, 0)), F756&lt;=INDEX([1]Contracts!$C:$C, MATCH(A756, [1]Contracts!$A:$A, 0))))</f>
        <v/>
      </c>
    </row>
    <row r="757" spans="9:10">
      <c r="I757" s="3" t="str">
        <f t="shared" ca="1" si="12"/>
        <v/>
      </c>
      <c r="J757" s="3" t="str">
        <f>IF(OR(F757="",A757=""),"",AND(F757&gt;=INDEX([1]Contracts!$B:$B, MATCH(A757, [1]Contracts!$A:$A, 0)), F757&lt;=INDEX([1]Contracts!$C:$C, MATCH(A757, [1]Contracts!$A:$A, 0))))</f>
        <v/>
      </c>
    </row>
    <row r="758" spans="9:10">
      <c r="I758" s="3" t="str">
        <f t="shared" ca="1" si="12"/>
        <v/>
      </c>
      <c r="J758" s="3" t="str">
        <f>IF(OR(F758="",A758=""),"",AND(F758&gt;=INDEX([1]Contracts!$B:$B, MATCH(A758, [1]Contracts!$A:$A, 0)), F758&lt;=INDEX([1]Contracts!$C:$C, MATCH(A758, [1]Contracts!$A:$A, 0))))</f>
        <v/>
      </c>
    </row>
    <row r="759" spans="9:10">
      <c r="I759" s="3" t="str">
        <f t="shared" ca="1" si="12"/>
        <v/>
      </c>
      <c r="J759" s="3" t="str">
        <f>IF(OR(F759="",A759=""),"",AND(F759&gt;=INDEX([1]Contracts!$B:$B, MATCH(A759, [1]Contracts!$A:$A, 0)), F759&lt;=INDEX([1]Contracts!$C:$C, MATCH(A759, [1]Contracts!$A:$A, 0))))</f>
        <v/>
      </c>
    </row>
    <row r="760" spans="9:10">
      <c r="I760" s="3" t="str">
        <f t="shared" ca="1" si="12"/>
        <v/>
      </c>
      <c r="J760" s="3" t="str">
        <f>IF(OR(F760="",A760=""),"",AND(F760&gt;=INDEX([1]Contracts!$B:$B, MATCH(A760, [1]Contracts!$A:$A, 0)), F760&lt;=INDEX([1]Contracts!$C:$C, MATCH(A760, [1]Contracts!$A:$A, 0))))</f>
        <v/>
      </c>
    </row>
    <row r="761" spans="9:10">
      <c r="I761" s="3" t="str">
        <f t="shared" ca="1" si="12"/>
        <v/>
      </c>
      <c r="J761" s="3" t="str">
        <f>IF(OR(F761="",A761=""),"",AND(F761&gt;=INDEX([1]Contracts!$B:$B, MATCH(A761, [1]Contracts!$A:$A, 0)), F761&lt;=INDEX([1]Contracts!$C:$C, MATCH(A761, [1]Contracts!$A:$A, 0))))</f>
        <v/>
      </c>
    </row>
    <row r="762" spans="9:10">
      <c r="I762" s="3" t="str">
        <f t="shared" ca="1" si="12"/>
        <v/>
      </c>
      <c r="J762" s="3" t="str">
        <f>IF(OR(F762="",A762=""),"",AND(F762&gt;=INDEX([1]Contracts!$B:$B, MATCH(A762, [1]Contracts!$A:$A, 0)), F762&lt;=INDEX([1]Contracts!$C:$C, MATCH(A762, [1]Contracts!$A:$A, 0))))</f>
        <v/>
      </c>
    </row>
    <row r="763" spans="9:10">
      <c r="I763" s="3" t="str">
        <f t="shared" ca="1" si="12"/>
        <v/>
      </c>
      <c r="J763" s="3" t="str">
        <f>IF(OR(F763="",A763=""),"",AND(F763&gt;=INDEX([1]Contracts!$B:$B, MATCH(A763, [1]Contracts!$A:$A, 0)), F763&lt;=INDEX([1]Contracts!$C:$C, MATCH(A763, [1]Contracts!$A:$A, 0))))</f>
        <v/>
      </c>
    </row>
    <row r="764" spans="9:10">
      <c r="I764" s="3" t="str">
        <f t="shared" ca="1" si="12"/>
        <v/>
      </c>
      <c r="J764" s="3" t="str">
        <f>IF(OR(F764="",A764=""),"",AND(F764&gt;=INDEX([1]Contracts!$B:$B, MATCH(A764, [1]Contracts!$A:$A, 0)), F764&lt;=INDEX([1]Contracts!$C:$C, MATCH(A764, [1]Contracts!$A:$A, 0))))</f>
        <v/>
      </c>
    </row>
    <row r="765" spans="9:10">
      <c r="I765" s="3" t="str">
        <f t="shared" ca="1" si="12"/>
        <v/>
      </c>
      <c r="J765" s="3" t="str">
        <f>IF(OR(F765="",A765=""),"",AND(F765&gt;=INDEX([1]Contracts!$B:$B, MATCH(A765, [1]Contracts!$A:$A, 0)), F765&lt;=INDEX([1]Contracts!$C:$C, MATCH(A765, [1]Contracts!$A:$A, 0))))</f>
        <v/>
      </c>
    </row>
    <row r="766" spans="9:10">
      <c r="I766" s="3" t="str">
        <f t="shared" ca="1" si="12"/>
        <v/>
      </c>
      <c r="J766" s="3" t="str">
        <f>IF(OR(F766="",A766=""),"",AND(F766&gt;=INDEX([1]Contracts!$B:$B, MATCH(A766, [1]Contracts!$A:$A, 0)), F766&lt;=INDEX([1]Contracts!$C:$C, MATCH(A766, [1]Contracts!$A:$A, 0))))</f>
        <v/>
      </c>
    </row>
    <row r="767" spans="9:10">
      <c r="I767" s="3" t="str">
        <f t="shared" ca="1" si="12"/>
        <v/>
      </c>
      <c r="J767" s="3" t="str">
        <f>IF(OR(F767="",A767=""),"",AND(F767&gt;=INDEX([1]Contracts!$B:$B, MATCH(A767, [1]Contracts!$A:$A, 0)), F767&lt;=INDEX([1]Contracts!$C:$C, MATCH(A767, [1]Contracts!$A:$A, 0))))</f>
        <v/>
      </c>
    </row>
    <row r="768" spans="9:10">
      <c r="I768" s="3" t="str">
        <f t="shared" ca="1" si="12"/>
        <v/>
      </c>
      <c r="J768" s="3" t="str">
        <f>IF(OR(F768="",A768=""),"",AND(F768&gt;=INDEX([1]Contracts!$B:$B, MATCH(A768, [1]Contracts!$A:$A, 0)), F768&lt;=INDEX([1]Contracts!$C:$C, MATCH(A768, [1]Contracts!$A:$A, 0))))</f>
        <v/>
      </c>
    </row>
    <row r="769" spans="9:10">
      <c r="I769" s="3" t="str">
        <f t="shared" ca="1" si="12"/>
        <v/>
      </c>
      <c r="J769" s="3" t="str">
        <f>IF(OR(F769="",A769=""),"",AND(F769&gt;=INDEX([1]Contracts!$B:$B, MATCH(A769, [1]Contracts!$A:$A, 0)), F769&lt;=INDEX([1]Contracts!$C:$C, MATCH(A769, [1]Contracts!$A:$A, 0))))</f>
        <v/>
      </c>
    </row>
    <row r="770" spans="9:10">
      <c r="I770" s="3" t="str">
        <f t="shared" ca="1" si="12"/>
        <v/>
      </c>
      <c r="J770" s="3" t="str">
        <f>IF(OR(F770="",A770=""),"",AND(F770&gt;=INDEX([1]Contracts!$B:$B, MATCH(A770, [1]Contracts!$A:$A, 0)), F770&lt;=INDEX([1]Contracts!$C:$C, MATCH(A770, [1]Contracts!$A:$A, 0))))</f>
        <v/>
      </c>
    </row>
    <row r="771" spans="9:10">
      <c r="I771" s="3" t="str">
        <f t="shared" ca="1" si="12"/>
        <v/>
      </c>
      <c r="J771" s="3" t="str">
        <f>IF(OR(F771="",A771=""),"",AND(F771&gt;=INDEX([1]Contracts!$B:$B, MATCH(A771, [1]Contracts!$A:$A, 0)), F771&lt;=INDEX([1]Contracts!$C:$C, MATCH(A771, [1]Contracts!$A:$A, 0))))</f>
        <v/>
      </c>
    </row>
    <row r="772" spans="9:10">
      <c r="I772" s="3" t="str">
        <f t="shared" ca="1" si="12"/>
        <v/>
      </c>
      <c r="J772" s="3" t="str">
        <f>IF(OR(F772="",A772=""),"",AND(F772&gt;=INDEX([1]Contracts!$B:$B, MATCH(A772, [1]Contracts!$A:$A, 0)), F772&lt;=INDEX([1]Contracts!$C:$C, MATCH(A772, [1]Contracts!$A:$A, 0))))</f>
        <v/>
      </c>
    </row>
    <row r="773" spans="9:10">
      <c r="I773" s="3" t="str">
        <f t="shared" ca="1" si="12"/>
        <v/>
      </c>
      <c r="J773" s="3" t="str">
        <f>IF(OR(F773="",A773=""),"",AND(F773&gt;=INDEX([1]Contracts!$B:$B, MATCH(A773, [1]Contracts!$A:$A, 0)), F773&lt;=INDEX([1]Contracts!$C:$C, MATCH(A773, [1]Contracts!$A:$A, 0))))</f>
        <v/>
      </c>
    </row>
    <row r="774" spans="9:10">
      <c r="I774" s="3" t="str">
        <f t="shared" ca="1" si="12"/>
        <v/>
      </c>
      <c r="J774" s="3" t="str">
        <f>IF(OR(F774="",A774=""),"",AND(F774&gt;=INDEX([1]Contracts!$B:$B, MATCH(A774, [1]Contracts!$A:$A, 0)), F774&lt;=INDEX([1]Contracts!$C:$C, MATCH(A774, [1]Contracts!$A:$A, 0))))</f>
        <v/>
      </c>
    </row>
    <row r="775" spans="9:10">
      <c r="I775" s="3" t="str">
        <f t="shared" ca="1" si="12"/>
        <v/>
      </c>
      <c r="J775" s="3" t="str">
        <f>IF(OR(F775="",A775=""),"",AND(F775&gt;=INDEX([1]Contracts!$B:$B, MATCH(A775, [1]Contracts!$A:$A, 0)), F775&lt;=INDEX([1]Contracts!$C:$C, MATCH(A775, [1]Contracts!$A:$A, 0))))</f>
        <v/>
      </c>
    </row>
    <row r="776" spans="9:10">
      <c r="I776" s="3" t="str">
        <f t="shared" ref="I776:I839" ca="1" si="13">IF(F776="","",F776-TODAY())</f>
        <v/>
      </c>
      <c r="J776" s="3" t="str">
        <f>IF(OR(F776="",A776=""),"",AND(F776&gt;=INDEX([1]Contracts!$B:$B, MATCH(A776, [1]Contracts!$A:$A, 0)), F776&lt;=INDEX([1]Contracts!$C:$C, MATCH(A776, [1]Contracts!$A:$A, 0))))</f>
        <v/>
      </c>
    </row>
    <row r="777" spans="9:10">
      <c r="I777" s="3" t="str">
        <f t="shared" ca="1" si="13"/>
        <v/>
      </c>
      <c r="J777" s="3" t="str">
        <f>IF(OR(F777="",A777=""),"",AND(F777&gt;=INDEX([1]Contracts!$B:$B, MATCH(A777, [1]Contracts!$A:$A, 0)), F777&lt;=INDEX([1]Contracts!$C:$C, MATCH(A777, [1]Contracts!$A:$A, 0))))</f>
        <v/>
      </c>
    </row>
    <row r="778" spans="9:10">
      <c r="I778" s="3" t="str">
        <f t="shared" ca="1" si="13"/>
        <v/>
      </c>
      <c r="J778" s="3" t="str">
        <f>IF(OR(F778="",A778=""),"",AND(F778&gt;=INDEX([1]Contracts!$B:$B, MATCH(A778, [1]Contracts!$A:$A, 0)), F778&lt;=INDEX([1]Contracts!$C:$C, MATCH(A778, [1]Contracts!$A:$A, 0))))</f>
        <v/>
      </c>
    </row>
    <row r="779" spans="9:10">
      <c r="I779" s="3" t="str">
        <f t="shared" ca="1" si="13"/>
        <v/>
      </c>
      <c r="J779" s="3" t="str">
        <f>IF(OR(F779="",A779=""),"",AND(F779&gt;=INDEX([1]Contracts!$B:$B, MATCH(A779, [1]Contracts!$A:$A, 0)), F779&lt;=INDEX([1]Contracts!$C:$C, MATCH(A779, [1]Contracts!$A:$A, 0))))</f>
        <v/>
      </c>
    </row>
    <row r="780" spans="9:10">
      <c r="I780" s="3" t="str">
        <f t="shared" ca="1" si="13"/>
        <v/>
      </c>
      <c r="J780" s="3" t="str">
        <f>IF(OR(F780="",A780=""),"",AND(F780&gt;=INDEX([1]Contracts!$B:$B, MATCH(A780, [1]Contracts!$A:$A, 0)), F780&lt;=INDEX([1]Contracts!$C:$C, MATCH(A780, [1]Contracts!$A:$A, 0))))</f>
        <v/>
      </c>
    </row>
    <row r="781" spans="9:10">
      <c r="I781" s="3" t="str">
        <f t="shared" ca="1" si="13"/>
        <v/>
      </c>
      <c r="J781" s="3" t="str">
        <f>IF(OR(F781="",A781=""),"",AND(F781&gt;=INDEX([1]Contracts!$B:$B, MATCH(A781, [1]Contracts!$A:$A, 0)), F781&lt;=INDEX([1]Contracts!$C:$C, MATCH(A781, [1]Contracts!$A:$A, 0))))</f>
        <v/>
      </c>
    </row>
    <row r="782" spans="9:10">
      <c r="I782" s="3" t="str">
        <f t="shared" ca="1" si="13"/>
        <v/>
      </c>
      <c r="J782" s="3" t="str">
        <f>IF(OR(F782="",A782=""),"",AND(F782&gt;=INDEX([1]Contracts!$B:$B, MATCH(A782, [1]Contracts!$A:$A, 0)), F782&lt;=INDEX([1]Contracts!$C:$C, MATCH(A782, [1]Contracts!$A:$A, 0))))</f>
        <v/>
      </c>
    </row>
    <row r="783" spans="9:10">
      <c r="I783" s="3" t="str">
        <f t="shared" ca="1" si="13"/>
        <v/>
      </c>
      <c r="J783" s="3" t="str">
        <f>IF(OR(F783="",A783=""),"",AND(F783&gt;=INDEX([1]Contracts!$B:$B, MATCH(A783, [1]Contracts!$A:$A, 0)), F783&lt;=INDEX([1]Contracts!$C:$C, MATCH(A783, [1]Contracts!$A:$A, 0))))</f>
        <v/>
      </c>
    </row>
    <row r="784" spans="9:10">
      <c r="I784" s="3" t="str">
        <f t="shared" ca="1" si="13"/>
        <v/>
      </c>
      <c r="J784" s="3" t="str">
        <f>IF(OR(F784="",A784=""),"",AND(F784&gt;=INDEX([1]Contracts!$B:$B, MATCH(A784, [1]Contracts!$A:$A, 0)), F784&lt;=INDEX([1]Contracts!$C:$C, MATCH(A784, [1]Contracts!$A:$A, 0))))</f>
        <v/>
      </c>
    </row>
    <row r="785" spans="9:10">
      <c r="I785" s="3" t="str">
        <f t="shared" ca="1" si="13"/>
        <v/>
      </c>
      <c r="J785" s="3" t="str">
        <f>IF(OR(F785="",A785=""),"",AND(F785&gt;=INDEX([1]Contracts!$B:$B, MATCH(A785, [1]Contracts!$A:$A, 0)), F785&lt;=INDEX([1]Contracts!$C:$C, MATCH(A785, [1]Contracts!$A:$A, 0))))</f>
        <v/>
      </c>
    </row>
    <row r="786" spans="9:10">
      <c r="I786" s="3" t="str">
        <f t="shared" ca="1" si="13"/>
        <v/>
      </c>
      <c r="J786" s="3" t="str">
        <f>IF(OR(F786="",A786=""),"",AND(F786&gt;=INDEX([1]Contracts!$B:$B, MATCH(A786, [1]Contracts!$A:$A, 0)), F786&lt;=INDEX([1]Contracts!$C:$C, MATCH(A786, [1]Contracts!$A:$A, 0))))</f>
        <v/>
      </c>
    </row>
    <row r="787" spans="9:10">
      <c r="I787" s="3" t="str">
        <f t="shared" ca="1" si="13"/>
        <v/>
      </c>
      <c r="J787" s="3" t="str">
        <f>IF(OR(F787="",A787=""),"",AND(F787&gt;=INDEX([1]Contracts!$B:$B, MATCH(A787, [1]Contracts!$A:$A, 0)), F787&lt;=INDEX([1]Contracts!$C:$C, MATCH(A787, [1]Contracts!$A:$A, 0))))</f>
        <v/>
      </c>
    </row>
    <row r="788" spans="9:10">
      <c r="I788" s="3" t="str">
        <f t="shared" ca="1" si="13"/>
        <v/>
      </c>
      <c r="J788" s="3" t="str">
        <f>IF(OR(F788="",A788=""),"",AND(F788&gt;=INDEX([1]Contracts!$B:$B, MATCH(A788, [1]Contracts!$A:$A, 0)), F788&lt;=INDEX([1]Contracts!$C:$C, MATCH(A788, [1]Contracts!$A:$A, 0))))</f>
        <v/>
      </c>
    </row>
    <row r="789" spans="9:10">
      <c r="I789" s="3" t="str">
        <f t="shared" ca="1" si="13"/>
        <v/>
      </c>
      <c r="J789" s="3" t="str">
        <f>IF(OR(F789="",A789=""),"",AND(F789&gt;=INDEX([1]Contracts!$B:$B, MATCH(A789, [1]Contracts!$A:$A, 0)), F789&lt;=INDEX([1]Contracts!$C:$C, MATCH(A789, [1]Contracts!$A:$A, 0))))</f>
        <v/>
      </c>
    </row>
    <row r="790" spans="9:10">
      <c r="I790" s="3" t="str">
        <f t="shared" ca="1" si="13"/>
        <v/>
      </c>
      <c r="J790" s="3" t="str">
        <f>IF(OR(F790="",A790=""),"",AND(F790&gt;=INDEX([1]Contracts!$B:$B, MATCH(A790, [1]Contracts!$A:$A, 0)), F790&lt;=INDEX([1]Contracts!$C:$C, MATCH(A790, [1]Contracts!$A:$A, 0))))</f>
        <v/>
      </c>
    </row>
    <row r="791" spans="9:10">
      <c r="I791" s="3" t="str">
        <f t="shared" ca="1" si="13"/>
        <v/>
      </c>
      <c r="J791" s="3" t="str">
        <f>IF(OR(F791="",A791=""),"",AND(F791&gt;=INDEX([1]Contracts!$B:$B, MATCH(A791, [1]Contracts!$A:$A, 0)), F791&lt;=INDEX([1]Contracts!$C:$C, MATCH(A791, [1]Contracts!$A:$A, 0))))</f>
        <v/>
      </c>
    </row>
    <row r="792" spans="9:10">
      <c r="I792" s="3" t="str">
        <f t="shared" ca="1" si="13"/>
        <v/>
      </c>
      <c r="J792" s="3" t="str">
        <f>IF(OR(F792="",A792=""),"",AND(F792&gt;=INDEX([1]Contracts!$B:$B, MATCH(A792, [1]Contracts!$A:$A, 0)), F792&lt;=INDEX([1]Contracts!$C:$C, MATCH(A792, [1]Contracts!$A:$A, 0))))</f>
        <v/>
      </c>
    </row>
    <row r="793" spans="9:10">
      <c r="I793" s="3" t="str">
        <f t="shared" ca="1" si="13"/>
        <v/>
      </c>
      <c r="J793" s="3" t="str">
        <f>IF(OR(F793="",A793=""),"",AND(F793&gt;=INDEX([1]Contracts!$B:$B, MATCH(A793, [1]Contracts!$A:$A, 0)), F793&lt;=INDEX([1]Contracts!$C:$C, MATCH(A793, [1]Contracts!$A:$A, 0))))</f>
        <v/>
      </c>
    </row>
    <row r="794" spans="9:10">
      <c r="I794" s="3" t="str">
        <f t="shared" ca="1" si="13"/>
        <v/>
      </c>
      <c r="J794" s="3" t="str">
        <f>IF(OR(F794="",A794=""),"",AND(F794&gt;=INDEX([1]Contracts!$B:$B, MATCH(A794, [1]Contracts!$A:$A, 0)), F794&lt;=INDEX([1]Contracts!$C:$C, MATCH(A794, [1]Contracts!$A:$A, 0))))</f>
        <v/>
      </c>
    </row>
    <row r="795" spans="9:10">
      <c r="I795" s="3" t="str">
        <f t="shared" ca="1" si="13"/>
        <v/>
      </c>
      <c r="J795" s="3" t="str">
        <f>IF(OR(F795="",A795=""),"",AND(F795&gt;=INDEX([1]Contracts!$B:$B, MATCH(A795, [1]Contracts!$A:$A, 0)), F795&lt;=INDEX([1]Contracts!$C:$C, MATCH(A795, [1]Contracts!$A:$A, 0))))</f>
        <v/>
      </c>
    </row>
    <row r="796" spans="9:10">
      <c r="I796" s="3" t="str">
        <f t="shared" ca="1" si="13"/>
        <v/>
      </c>
      <c r="J796" s="3" t="str">
        <f>IF(OR(F796="",A796=""),"",AND(F796&gt;=INDEX([1]Contracts!$B:$B, MATCH(A796, [1]Contracts!$A:$A, 0)), F796&lt;=INDEX([1]Contracts!$C:$C, MATCH(A796, [1]Contracts!$A:$A, 0))))</f>
        <v/>
      </c>
    </row>
    <row r="797" spans="9:10">
      <c r="I797" s="3" t="str">
        <f t="shared" ca="1" si="13"/>
        <v/>
      </c>
      <c r="J797" s="3" t="str">
        <f>IF(OR(F797="",A797=""),"",AND(F797&gt;=INDEX([1]Contracts!$B:$B, MATCH(A797, [1]Contracts!$A:$A, 0)), F797&lt;=INDEX([1]Contracts!$C:$C, MATCH(A797, [1]Contracts!$A:$A, 0))))</f>
        <v/>
      </c>
    </row>
    <row r="798" spans="9:10">
      <c r="I798" s="3" t="str">
        <f t="shared" ca="1" si="13"/>
        <v/>
      </c>
      <c r="J798" s="3" t="str">
        <f>IF(OR(F798="",A798=""),"",AND(F798&gt;=INDEX([1]Contracts!$B:$B, MATCH(A798, [1]Contracts!$A:$A, 0)), F798&lt;=INDEX([1]Contracts!$C:$C, MATCH(A798, [1]Contracts!$A:$A, 0))))</f>
        <v/>
      </c>
    </row>
    <row r="799" spans="9:10">
      <c r="I799" s="3" t="str">
        <f t="shared" ca="1" si="13"/>
        <v/>
      </c>
      <c r="J799" s="3" t="str">
        <f>IF(OR(F799="",A799=""),"",AND(F799&gt;=INDEX([1]Contracts!$B:$B, MATCH(A799, [1]Contracts!$A:$A, 0)), F799&lt;=INDEX([1]Contracts!$C:$C, MATCH(A799, [1]Contracts!$A:$A, 0))))</f>
        <v/>
      </c>
    </row>
    <row r="800" spans="9:10">
      <c r="I800" s="3" t="str">
        <f t="shared" ca="1" si="13"/>
        <v/>
      </c>
      <c r="J800" s="3" t="str">
        <f>IF(OR(F800="",A800=""),"",AND(F800&gt;=INDEX([1]Contracts!$B:$B, MATCH(A800, [1]Contracts!$A:$A, 0)), F800&lt;=INDEX([1]Contracts!$C:$C, MATCH(A800, [1]Contracts!$A:$A, 0))))</f>
        <v/>
      </c>
    </row>
    <row r="801" spans="9:10">
      <c r="I801" s="3" t="str">
        <f t="shared" ca="1" si="13"/>
        <v/>
      </c>
      <c r="J801" s="3" t="str">
        <f>IF(OR(F801="",A801=""),"",AND(F801&gt;=INDEX([1]Contracts!$B:$B, MATCH(A801, [1]Contracts!$A:$A, 0)), F801&lt;=INDEX([1]Contracts!$C:$C, MATCH(A801, [1]Contracts!$A:$A, 0))))</f>
        <v/>
      </c>
    </row>
    <row r="802" spans="9:10">
      <c r="I802" s="3" t="str">
        <f t="shared" ca="1" si="13"/>
        <v/>
      </c>
      <c r="J802" s="3" t="str">
        <f>IF(OR(F802="",A802=""),"",AND(F802&gt;=INDEX([1]Contracts!$B:$B, MATCH(A802, [1]Contracts!$A:$A, 0)), F802&lt;=INDEX([1]Contracts!$C:$C, MATCH(A802, [1]Contracts!$A:$A, 0))))</f>
        <v/>
      </c>
    </row>
    <row r="803" spans="9:10">
      <c r="I803" s="3" t="str">
        <f t="shared" ca="1" si="13"/>
        <v/>
      </c>
      <c r="J803" s="3" t="str">
        <f>IF(OR(F803="",A803=""),"",AND(F803&gt;=INDEX([1]Contracts!$B:$B, MATCH(A803, [1]Contracts!$A:$A, 0)), F803&lt;=INDEX([1]Contracts!$C:$C, MATCH(A803, [1]Contracts!$A:$A, 0))))</f>
        <v/>
      </c>
    </row>
    <row r="804" spans="9:10">
      <c r="I804" s="3" t="str">
        <f t="shared" ca="1" si="13"/>
        <v/>
      </c>
      <c r="J804" s="3" t="str">
        <f>IF(OR(F804="",A804=""),"",AND(F804&gt;=INDEX([1]Contracts!$B:$B, MATCH(A804, [1]Contracts!$A:$A, 0)), F804&lt;=INDEX([1]Contracts!$C:$C, MATCH(A804, [1]Contracts!$A:$A, 0))))</f>
        <v/>
      </c>
    </row>
    <row r="805" spans="9:10">
      <c r="I805" s="3" t="str">
        <f t="shared" ca="1" si="13"/>
        <v/>
      </c>
      <c r="J805" s="3" t="str">
        <f>IF(OR(F805="",A805=""),"",AND(F805&gt;=INDEX([1]Contracts!$B:$B, MATCH(A805, [1]Contracts!$A:$A, 0)), F805&lt;=INDEX([1]Contracts!$C:$C, MATCH(A805, [1]Contracts!$A:$A, 0))))</f>
        <v/>
      </c>
    </row>
    <row r="806" spans="9:10">
      <c r="I806" s="3" t="str">
        <f t="shared" ca="1" si="13"/>
        <v/>
      </c>
      <c r="J806" s="3" t="str">
        <f>IF(OR(F806="",A806=""),"",AND(F806&gt;=INDEX([1]Contracts!$B:$B, MATCH(A806, [1]Contracts!$A:$A, 0)), F806&lt;=INDEX([1]Contracts!$C:$C, MATCH(A806, [1]Contracts!$A:$A, 0))))</f>
        <v/>
      </c>
    </row>
    <row r="807" spans="9:10">
      <c r="I807" s="3" t="str">
        <f t="shared" ca="1" si="13"/>
        <v/>
      </c>
      <c r="J807" s="3" t="str">
        <f>IF(OR(F807="",A807=""),"",AND(F807&gt;=INDEX([1]Contracts!$B:$B, MATCH(A807, [1]Contracts!$A:$A, 0)), F807&lt;=INDEX([1]Contracts!$C:$C, MATCH(A807, [1]Contracts!$A:$A, 0))))</f>
        <v/>
      </c>
    </row>
    <row r="808" spans="9:10">
      <c r="I808" s="3" t="str">
        <f t="shared" ca="1" si="13"/>
        <v/>
      </c>
      <c r="J808" s="3" t="str">
        <f>IF(OR(F808="",A808=""),"",AND(F808&gt;=INDEX([1]Contracts!$B:$B, MATCH(A808, [1]Contracts!$A:$A, 0)), F808&lt;=INDEX([1]Contracts!$C:$C, MATCH(A808, [1]Contracts!$A:$A, 0))))</f>
        <v/>
      </c>
    </row>
    <row r="809" spans="9:10">
      <c r="I809" s="3" t="str">
        <f t="shared" ca="1" si="13"/>
        <v/>
      </c>
      <c r="J809" s="3" t="str">
        <f>IF(OR(F809="",A809=""),"",AND(F809&gt;=INDEX([1]Contracts!$B:$B, MATCH(A809, [1]Contracts!$A:$A, 0)), F809&lt;=INDEX([1]Contracts!$C:$C, MATCH(A809, [1]Contracts!$A:$A, 0))))</f>
        <v/>
      </c>
    </row>
    <row r="810" spans="9:10">
      <c r="I810" s="3" t="str">
        <f t="shared" ca="1" si="13"/>
        <v/>
      </c>
      <c r="J810" s="3" t="str">
        <f>IF(OR(F810="",A810=""),"",AND(F810&gt;=INDEX([1]Contracts!$B:$B, MATCH(A810, [1]Contracts!$A:$A, 0)), F810&lt;=INDEX([1]Contracts!$C:$C, MATCH(A810, [1]Contracts!$A:$A, 0))))</f>
        <v/>
      </c>
    </row>
    <row r="811" spans="9:10">
      <c r="I811" s="3" t="str">
        <f t="shared" ca="1" si="13"/>
        <v/>
      </c>
      <c r="J811" s="3" t="str">
        <f>IF(OR(F811="",A811=""),"",AND(F811&gt;=INDEX([1]Contracts!$B:$B, MATCH(A811, [1]Contracts!$A:$A, 0)), F811&lt;=INDEX([1]Contracts!$C:$C, MATCH(A811, [1]Contracts!$A:$A, 0))))</f>
        <v/>
      </c>
    </row>
    <row r="812" spans="9:10">
      <c r="I812" s="3" t="str">
        <f t="shared" ca="1" si="13"/>
        <v/>
      </c>
      <c r="J812" s="3" t="str">
        <f>IF(OR(F812="",A812=""),"",AND(F812&gt;=INDEX([1]Contracts!$B:$B, MATCH(A812, [1]Contracts!$A:$A, 0)), F812&lt;=INDEX([1]Contracts!$C:$C, MATCH(A812, [1]Contracts!$A:$A, 0))))</f>
        <v/>
      </c>
    </row>
    <row r="813" spans="9:10">
      <c r="I813" s="3" t="str">
        <f t="shared" ca="1" si="13"/>
        <v/>
      </c>
      <c r="J813" s="3" t="str">
        <f>IF(OR(F813="",A813=""),"",AND(F813&gt;=INDEX([1]Contracts!$B:$B, MATCH(A813, [1]Contracts!$A:$A, 0)), F813&lt;=INDEX([1]Contracts!$C:$C, MATCH(A813, [1]Contracts!$A:$A, 0))))</f>
        <v/>
      </c>
    </row>
    <row r="814" spans="9:10">
      <c r="I814" s="3" t="str">
        <f t="shared" ca="1" si="13"/>
        <v/>
      </c>
      <c r="J814" s="3" t="str">
        <f>IF(OR(F814="",A814=""),"",AND(F814&gt;=INDEX([1]Contracts!$B:$B, MATCH(A814, [1]Contracts!$A:$A, 0)), F814&lt;=INDEX([1]Contracts!$C:$C, MATCH(A814, [1]Contracts!$A:$A, 0))))</f>
        <v/>
      </c>
    </row>
    <row r="815" spans="9:10">
      <c r="I815" s="3" t="str">
        <f t="shared" ca="1" si="13"/>
        <v/>
      </c>
      <c r="J815" s="3" t="str">
        <f>IF(OR(F815="",A815=""),"",AND(F815&gt;=INDEX([1]Contracts!$B:$B, MATCH(A815, [1]Contracts!$A:$A, 0)), F815&lt;=INDEX([1]Contracts!$C:$C, MATCH(A815, [1]Contracts!$A:$A, 0))))</f>
        <v/>
      </c>
    </row>
    <row r="816" spans="9:10">
      <c r="I816" s="3" t="str">
        <f t="shared" ca="1" si="13"/>
        <v/>
      </c>
      <c r="J816" s="3" t="str">
        <f>IF(OR(F816="",A816=""),"",AND(F816&gt;=INDEX([1]Contracts!$B:$B, MATCH(A816, [1]Contracts!$A:$A, 0)), F816&lt;=INDEX([1]Contracts!$C:$C, MATCH(A816, [1]Contracts!$A:$A, 0))))</f>
        <v/>
      </c>
    </row>
    <row r="817" spans="9:10">
      <c r="I817" s="3" t="str">
        <f t="shared" ca="1" si="13"/>
        <v/>
      </c>
      <c r="J817" s="3" t="str">
        <f>IF(OR(F817="",A817=""),"",AND(F817&gt;=INDEX([1]Contracts!$B:$B, MATCH(A817, [1]Contracts!$A:$A, 0)), F817&lt;=INDEX([1]Contracts!$C:$C, MATCH(A817, [1]Contracts!$A:$A, 0))))</f>
        <v/>
      </c>
    </row>
    <row r="818" spans="9:10">
      <c r="I818" s="3" t="str">
        <f t="shared" ca="1" si="13"/>
        <v/>
      </c>
      <c r="J818" s="3" t="str">
        <f>IF(OR(F818="",A818=""),"",AND(F818&gt;=INDEX([1]Contracts!$B:$B, MATCH(A818, [1]Contracts!$A:$A, 0)), F818&lt;=INDEX([1]Contracts!$C:$C, MATCH(A818, [1]Contracts!$A:$A, 0))))</f>
        <v/>
      </c>
    </row>
    <row r="819" spans="9:10">
      <c r="I819" s="3" t="str">
        <f t="shared" ca="1" si="13"/>
        <v/>
      </c>
      <c r="J819" s="3" t="str">
        <f>IF(OR(F819="",A819=""),"",AND(F819&gt;=INDEX([1]Contracts!$B:$B, MATCH(A819, [1]Contracts!$A:$A, 0)), F819&lt;=INDEX([1]Contracts!$C:$C, MATCH(A819, [1]Contracts!$A:$A, 0))))</f>
        <v/>
      </c>
    </row>
    <row r="820" spans="9:10">
      <c r="I820" s="3" t="str">
        <f t="shared" ca="1" si="13"/>
        <v/>
      </c>
      <c r="J820" s="3" t="str">
        <f>IF(OR(F820="",A820=""),"",AND(F820&gt;=INDEX([1]Contracts!$B:$B, MATCH(A820, [1]Contracts!$A:$A, 0)), F820&lt;=INDEX([1]Contracts!$C:$C, MATCH(A820, [1]Contracts!$A:$A, 0))))</f>
        <v/>
      </c>
    </row>
    <row r="821" spans="9:10">
      <c r="I821" s="3" t="str">
        <f t="shared" ca="1" si="13"/>
        <v/>
      </c>
      <c r="J821" s="3" t="str">
        <f>IF(OR(F821="",A821=""),"",AND(F821&gt;=INDEX([1]Contracts!$B:$B, MATCH(A821, [1]Contracts!$A:$A, 0)), F821&lt;=INDEX([1]Contracts!$C:$C, MATCH(A821, [1]Contracts!$A:$A, 0))))</f>
        <v/>
      </c>
    </row>
    <row r="822" spans="9:10">
      <c r="I822" s="3" t="str">
        <f t="shared" ca="1" si="13"/>
        <v/>
      </c>
      <c r="J822" s="3" t="str">
        <f>IF(OR(F822="",A822=""),"",AND(F822&gt;=INDEX([1]Contracts!$B:$B, MATCH(A822, [1]Contracts!$A:$A, 0)), F822&lt;=INDEX([1]Contracts!$C:$C, MATCH(A822, [1]Contracts!$A:$A, 0))))</f>
        <v/>
      </c>
    </row>
    <row r="823" spans="9:10">
      <c r="I823" s="3" t="str">
        <f t="shared" ca="1" si="13"/>
        <v/>
      </c>
      <c r="J823" s="3" t="str">
        <f>IF(OR(F823="",A823=""),"",AND(F823&gt;=INDEX([1]Contracts!$B:$B, MATCH(A823, [1]Contracts!$A:$A, 0)), F823&lt;=INDEX([1]Contracts!$C:$C, MATCH(A823, [1]Contracts!$A:$A, 0))))</f>
        <v/>
      </c>
    </row>
    <row r="824" spans="9:10">
      <c r="I824" s="3" t="str">
        <f t="shared" ca="1" si="13"/>
        <v/>
      </c>
      <c r="J824" s="3" t="str">
        <f>IF(OR(F824="",A824=""),"",AND(F824&gt;=INDEX([1]Contracts!$B:$B, MATCH(A824, [1]Contracts!$A:$A, 0)), F824&lt;=INDEX([1]Contracts!$C:$C, MATCH(A824, [1]Contracts!$A:$A, 0))))</f>
        <v/>
      </c>
    </row>
    <row r="825" spans="9:10">
      <c r="I825" s="3" t="str">
        <f t="shared" ca="1" si="13"/>
        <v/>
      </c>
      <c r="J825" s="3" t="str">
        <f>IF(OR(F825="",A825=""),"",AND(F825&gt;=INDEX([1]Contracts!$B:$B, MATCH(A825, [1]Contracts!$A:$A, 0)), F825&lt;=INDEX([1]Contracts!$C:$C, MATCH(A825, [1]Contracts!$A:$A, 0))))</f>
        <v/>
      </c>
    </row>
    <row r="826" spans="9:10">
      <c r="I826" s="3" t="str">
        <f t="shared" ca="1" si="13"/>
        <v/>
      </c>
      <c r="J826" s="3" t="str">
        <f>IF(OR(F826="",A826=""),"",AND(F826&gt;=INDEX([1]Contracts!$B:$B, MATCH(A826, [1]Contracts!$A:$A, 0)), F826&lt;=INDEX([1]Contracts!$C:$C, MATCH(A826, [1]Contracts!$A:$A, 0))))</f>
        <v/>
      </c>
    </row>
    <row r="827" spans="9:10">
      <c r="I827" s="3" t="str">
        <f t="shared" ca="1" si="13"/>
        <v/>
      </c>
      <c r="J827" s="3" t="str">
        <f>IF(OR(F827="",A827=""),"",AND(F827&gt;=INDEX([1]Contracts!$B:$B, MATCH(A827, [1]Contracts!$A:$A, 0)), F827&lt;=INDEX([1]Contracts!$C:$C, MATCH(A827, [1]Contracts!$A:$A, 0))))</f>
        <v/>
      </c>
    </row>
    <row r="828" spans="9:10">
      <c r="I828" s="3" t="str">
        <f t="shared" ca="1" si="13"/>
        <v/>
      </c>
      <c r="J828" s="3" t="str">
        <f>IF(OR(F828="",A828=""),"",AND(F828&gt;=INDEX([1]Contracts!$B:$B, MATCH(A828, [1]Contracts!$A:$A, 0)), F828&lt;=INDEX([1]Contracts!$C:$C, MATCH(A828, [1]Contracts!$A:$A, 0))))</f>
        <v/>
      </c>
    </row>
    <row r="829" spans="9:10">
      <c r="I829" s="3" t="str">
        <f t="shared" ca="1" si="13"/>
        <v/>
      </c>
      <c r="J829" s="3" t="str">
        <f>IF(OR(F829="",A829=""),"",AND(F829&gt;=INDEX([1]Contracts!$B:$B, MATCH(A829, [1]Contracts!$A:$A, 0)), F829&lt;=INDEX([1]Contracts!$C:$C, MATCH(A829, [1]Contracts!$A:$A, 0))))</f>
        <v/>
      </c>
    </row>
    <row r="830" spans="9:10">
      <c r="I830" s="3" t="str">
        <f t="shared" ca="1" si="13"/>
        <v/>
      </c>
      <c r="J830" s="3" t="str">
        <f>IF(OR(F830="",A830=""),"",AND(F830&gt;=INDEX([1]Contracts!$B:$B, MATCH(A830, [1]Contracts!$A:$A, 0)), F830&lt;=INDEX([1]Contracts!$C:$C, MATCH(A830, [1]Contracts!$A:$A, 0))))</f>
        <v/>
      </c>
    </row>
    <row r="831" spans="9:10">
      <c r="I831" s="3" t="str">
        <f t="shared" ca="1" si="13"/>
        <v/>
      </c>
      <c r="J831" s="3" t="str">
        <f>IF(OR(F831="",A831=""),"",AND(F831&gt;=INDEX([1]Contracts!$B:$B, MATCH(A831, [1]Contracts!$A:$A, 0)), F831&lt;=INDEX([1]Contracts!$C:$C, MATCH(A831, [1]Contracts!$A:$A, 0))))</f>
        <v/>
      </c>
    </row>
    <row r="832" spans="9:10">
      <c r="I832" s="3" t="str">
        <f t="shared" ca="1" si="13"/>
        <v/>
      </c>
      <c r="J832" s="3" t="str">
        <f>IF(OR(F832="",A832=""),"",AND(F832&gt;=INDEX([1]Contracts!$B:$B, MATCH(A832, [1]Contracts!$A:$A, 0)), F832&lt;=INDEX([1]Contracts!$C:$C, MATCH(A832, [1]Contracts!$A:$A, 0))))</f>
        <v/>
      </c>
    </row>
    <row r="833" spans="9:10">
      <c r="I833" s="3" t="str">
        <f t="shared" ca="1" si="13"/>
        <v/>
      </c>
      <c r="J833" s="3" t="str">
        <f>IF(OR(F833="",A833=""),"",AND(F833&gt;=INDEX([1]Contracts!$B:$B, MATCH(A833, [1]Contracts!$A:$A, 0)), F833&lt;=INDEX([1]Contracts!$C:$C, MATCH(A833, [1]Contracts!$A:$A, 0))))</f>
        <v/>
      </c>
    </row>
    <row r="834" spans="9:10">
      <c r="I834" s="3" t="str">
        <f t="shared" ca="1" si="13"/>
        <v/>
      </c>
      <c r="J834" s="3" t="str">
        <f>IF(OR(F834="",A834=""),"",AND(F834&gt;=INDEX([1]Contracts!$B:$B, MATCH(A834, [1]Contracts!$A:$A, 0)), F834&lt;=INDEX([1]Contracts!$C:$C, MATCH(A834, [1]Contracts!$A:$A, 0))))</f>
        <v/>
      </c>
    </row>
    <row r="835" spans="9:10">
      <c r="I835" s="3" t="str">
        <f t="shared" ca="1" si="13"/>
        <v/>
      </c>
      <c r="J835" s="3" t="str">
        <f>IF(OR(F835="",A835=""),"",AND(F835&gt;=INDEX([1]Contracts!$B:$B, MATCH(A835, [1]Contracts!$A:$A, 0)), F835&lt;=INDEX([1]Contracts!$C:$C, MATCH(A835, [1]Contracts!$A:$A, 0))))</f>
        <v/>
      </c>
    </row>
    <row r="836" spans="9:10">
      <c r="I836" s="3" t="str">
        <f t="shared" ca="1" si="13"/>
        <v/>
      </c>
      <c r="J836" s="3" t="str">
        <f>IF(OR(F836="",A836=""),"",AND(F836&gt;=INDEX([1]Contracts!$B:$B, MATCH(A836, [1]Contracts!$A:$A, 0)), F836&lt;=INDEX([1]Contracts!$C:$C, MATCH(A836, [1]Contracts!$A:$A, 0))))</f>
        <v/>
      </c>
    </row>
    <row r="837" spans="9:10">
      <c r="I837" s="3" t="str">
        <f t="shared" ca="1" si="13"/>
        <v/>
      </c>
      <c r="J837" s="3" t="str">
        <f>IF(OR(F837="",A837=""),"",AND(F837&gt;=INDEX([1]Contracts!$B:$B, MATCH(A837, [1]Contracts!$A:$A, 0)), F837&lt;=INDEX([1]Contracts!$C:$C, MATCH(A837, [1]Contracts!$A:$A, 0))))</f>
        <v/>
      </c>
    </row>
    <row r="838" spans="9:10">
      <c r="I838" s="3" t="str">
        <f t="shared" ca="1" si="13"/>
        <v/>
      </c>
      <c r="J838" s="3" t="str">
        <f>IF(OR(F838="",A838=""),"",AND(F838&gt;=INDEX([1]Contracts!$B:$B, MATCH(A838, [1]Contracts!$A:$A, 0)), F838&lt;=INDEX([1]Contracts!$C:$C, MATCH(A838, [1]Contracts!$A:$A, 0))))</f>
        <v/>
      </c>
    </row>
    <row r="839" spans="9:10">
      <c r="I839" s="3" t="str">
        <f t="shared" ca="1" si="13"/>
        <v/>
      </c>
      <c r="J839" s="3" t="str">
        <f>IF(OR(F839="",A839=""),"",AND(F839&gt;=INDEX([1]Contracts!$B:$B, MATCH(A839, [1]Contracts!$A:$A, 0)), F839&lt;=INDEX([1]Contracts!$C:$C, MATCH(A839, [1]Contracts!$A:$A, 0))))</f>
        <v/>
      </c>
    </row>
    <row r="840" spans="9:10">
      <c r="I840" s="3" t="str">
        <f t="shared" ref="I840:I903" ca="1" si="14">IF(F840="","",F840-TODAY())</f>
        <v/>
      </c>
      <c r="J840" s="3" t="str">
        <f>IF(OR(F840="",A840=""),"",AND(F840&gt;=INDEX([1]Contracts!$B:$B, MATCH(A840, [1]Contracts!$A:$A, 0)), F840&lt;=INDEX([1]Contracts!$C:$C, MATCH(A840, [1]Contracts!$A:$A, 0))))</f>
        <v/>
      </c>
    </row>
    <row r="841" spans="9:10">
      <c r="I841" s="3" t="str">
        <f t="shared" ca="1" si="14"/>
        <v/>
      </c>
      <c r="J841" s="3" t="str">
        <f>IF(OR(F841="",A841=""),"",AND(F841&gt;=INDEX([1]Contracts!$B:$B, MATCH(A841, [1]Contracts!$A:$A, 0)), F841&lt;=INDEX([1]Contracts!$C:$C, MATCH(A841, [1]Contracts!$A:$A, 0))))</f>
        <v/>
      </c>
    </row>
    <row r="842" spans="9:10">
      <c r="I842" s="3" t="str">
        <f t="shared" ca="1" si="14"/>
        <v/>
      </c>
      <c r="J842" s="3" t="str">
        <f>IF(OR(F842="",A842=""),"",AND(F842&gt;=INDEX([1]Contracts!$B:$B, MATCH(A842, [1]Contracts!$A:$A, 0)), F842&lt;=INDEX([1]Contracts!$C:$C, MATCH(A842, [1]Contracts!$A:$A, 0))))</f>
        <v/>
      </c>
    </row>
    <row r="843" spans="9:10">
      <c r="I843" s="3" t="str">
        <f t="shared" ca="1" si="14"/>
        <v/>
      </c>
      <c r="J843" s="3" t="str">
        <f>IF(OR(F843="",A843=""),"",AND(F843&gt;=INDEX([1]Contracts!$B:$B, MATCH(A843, [1]Contracts!$A:$A, 0)), F843&lt;=INDEX([1]Contracts!$C:$C, MATCH(A843, [1]Contracts!$A:$A, 0))))</f>
        <v/>
      </c>
    </row>
    <row r="844" spans="9:10">
      <c r="I844" s="3" t="str">
        <f t="shared" ca="1" si="14"/>
        <v/>
      </c>
      <c r="J844" s="3" t="str">
        <f>IF(OR(F844="",A844=""),"",AND(F844&gt;=INDEX([1]Contracts!$B:$B, MATCH(A844, [1]Contracts!$A:$A, 0)), F844&lt;=INDEX([1]Contracts!$C:$C, MATCH(A844, [1]Contracts!$A:$A, 0))))</f>
        <v/>
      </c>
    </row>
    <row r="845" spans="9:10">
      <c r="I845" s="3" t="str">
        <f t="shared" ca="1" si="14"/>
        <v/>
      </c>
      <c r="J845" s="3" t="str">
        <f>IF(OR(F845="",A845=""),"",AND(F845&gt;=INDEX([1]Contracts!$B:$B, MATCH(A845, [1]Contracts!$A:$A, 0)), F845&lt;=INDEX([1]Contracts!$C:$C, MATCH(A845, [1]Contracts!$A:$A, 0))))</f>
        <v/>
      </c>
    </row>
    <row r="846" spans="9:10">
      <c r="I846" s="3" t="str">
        <f t="shared" ca="1" si="14"/>
        <v/>
      </c>
      <c r="J846" s="3" t="str">
        <f>IF(OR(F846="",A846=""),"",AND(F846&gt;=INDEX([1]Contracts!$B:$B, MATCH(A846, [1]Contracts!$A:$A, 0)), F846&lt;=INDEX([1]Contracts!$C:$C, MATCH(A846, [1]Contracts!$A:$A, 0))))</f>
        <v/>
      </c>
    </row>
    <row r="847" spans="9:10">
      <c r="I847" s="3" t="str">
        <f t="shared" ca="1" si="14"/>
        <v/>
      </c>
      <c r="J847" s="3" t="str">
        <f>IF(OR(F847="",A847=""),"",AND(F847&gt;=INDEX([1]Contracts!$B:$B, MATCH(A847, [1]Contracts!$A:$A, 0)), F847&lt;=INDEX([1]Contracts!$C:$C, MATCH(A847, [1]Contracts!$A:$A, 0))))</f>
        <v/>
      </c>
    </row>
    <row r="848" spans="9:10">
      <c r="I848" s="3" t="str">
        <f t="shared" ca="1" si="14"/>
        <v/>
      </c>
      <c r="J848" s="3" t="str">
        <f>IF(OR(F848="",A848=""),"",AND(F848&gt;=INDEX([1]Contracts!$B:$B, MATCH(A848, [1]Contracts!$A:$A, 0)), F848&lt;=INDEX([1]Contracts!$C:$C, MATCH(A848, [1]Contracts!$A:$A, 0))))</f>
        <v/>
      </c>
    </row>
    <row r="849" spans="9:10">
      <c r="I849" s="3" t="str">
        <f t="shared" ca="1" si="14"/>
        <v/>
      </c>
      <c r="J849" s="3" t="str">
        <f>IF(OR(F849="",A849=""),"",AND(F849&gt;=INDEX([1]Contracts!$B:$B, MATCH(A849, [1]Contracts!$A:$A, 0)), F849&lt;=INDEX([1]Contracts!$C:$C, MATCH(A849, [1]Contracts!$A:$A, 0))))</f>
        <v/>
      </c>
    </row>
    <row r="850" spans="9:10">
      <c r="I850" s="3" t="str">
        <f t="shared" ca="1" si="14"/>
        <v/>
      </c>
      <c r="J850" s="3" t="str">
        <f>IF(OR(F850="",A850=""),"",AND(F850&gt;=INDEX([1]Contracts!$B:$B, MATCH(A850, [1]Contracts!$A:$A, 0)), F850&lt;=INDEX([1]Contracts!$C:$C, MATCH(A850, [1]Contracts!$A:$A, 0))))</f>
        <v/>
      </c>
    </row>
    <row r="851" spans="9:10">
      <c r="I851" s="3" t="str">
        <f t="shared" ca="1" si="14"/>
        <v/>
      </c>
      <c r="J851" s="3" t="str">
        <f>IF(OR(F851="",A851=""),"",AND(F851&gt;=INDEX([1]Contracts!$B:$B, MATCH(A851, [1]Contracts!$A:$A, 0)), F851&lt;=INDEX([1]Contracts!$C:$C, MATCH(A851, [1]Contracts!$A:$A, 0))))</f>
        <v/>
      </c>
    </row>
    <row r="852" spans="9:10">
      <c r="I852" s="3" t="str">
        <f t="shared" ca="1" si="14"/>
        <v/>
      </c>
      <c r="J852" s="3" t="str">
        <f>IF(OR(F852="",A852=""),"",AND(F852&gt;=INDEX([1]Contracts!$B:$B, MATCH(A852, [1]Contracts!$A:$A, 0)), F852&lt;=INDEX([1]Contracts!$C:$C, MATCH(A852, [1]Contracts!$A:$A, 0))))</f>
        <v/>
      </c>
    </row>
    <row r="853" spans="9:10">
      <c r="I853" s="3" t="str">
        <f t="shared" ca="1" si="14"/>
        <v/>
      </c>
      <c r="J853" s="3" t="str">
        <f>IF(OR(F853="",A853=""),"",AND(F853&gt;=INDEX([1]Contracts!$B:$B, MATCH(A853, [1]Contracts!$A:$A, 0)), F853&lt;=INDEX([1]Contracts!$C:$C, MATCH(A853, [1]Contracts!$A:$A, 0))))</f>
        <v/>
      </c>
    </row>
    <row r="854" spans="9:10">
      <c r="I854" s="3" t="str">
        <f t="shared" ca="1" si="14"/>
        <v/>
      </c>
      <c r="J854" s="3" t="str">
        <f>IF(OR(F854="",A854=""),"",AND(F854&gt;=INDEX([1]Contracts!$B:$B, MATCH(A854, [1]Contracts!$A:$A, 0)), F854&lt;=INDEX([1]Contracts!$C:$C, MATCH(A854, [1]Contracts!$A:$A, 0))))</f>
        <v/>
      </c>
    </row>
    <row r="855" spans="9:10">
      <c r="I855" s="3" t="str">
        <f t="shared" ca="1" si="14"/>
        <v/>
      </c>
      <c r="J855" s="3" t="str">
        <f>IF(OR(F855="",A855=""),"",AND(F855&gt;=INDEX([1]Contracts!$B:$B, MATCH(A855, [1]Contracts!$A:$A, 0)), F855&lt;=INDEX([1]Contracts!$C:$C, MATCH(A855, [1]Contracts!$A:$A, 0))))</f>
        <v/>
      </c>
    </row>
    <row r="856" spans="9:10">
      <c r="I856" s="3" t="str">
        <f t="shared" ca="1" si="14"/>
        <v/>
      </c>
      <c r="J856" s="3" t="str">
        <f>IF(OR(F856="",A856=""),"",AND(F856&gt;=INDEX([1]Contracts!$B:$B, MATCH(A856, [1]Contracts!$A:$A, 0)), F856&lt;=INDEX([1]Contracts!$C:$C, MATCH(A856, [1]Contracts!$A:$A, 0))))</f>
        <v/>
      </c>
    </row>
    <row r="857" spans="9:10">
      <c r="I857" s="3" t="str">
        <f t="shared" ca="1" si="14"/>
        <v/>
      </c>
      <c r="J857" s="3" t="str">
        <f>IF(OR(F857="",A857=""),"",AND(F857&gt;=INDEX([1]Contracts!$B:$B, MATCH(A857, [1]Contracts!$A:$A, 0)), F857&lt;=INDEX([1]Contracts!$C:$C, MATCH(A857, [1]Contracts!$A:$A, 0))))</f>
        <v/>
      </c>
    </row>
    <row r="858" spans="9:10">
      <c r="I858" s="3" t="str">
        <f t="shared" ca="1" si="14"/>
        <v/>
      </c>
      <c r="J858" s="3" t="str">
        <f>IF(OR(F858="",A858=""),"",AND(F858&gt;=INDEX([1]Contracts!$B:$B, MATCH(A858, [1]Contracts!$A:$A, 0)), F858&lt;=INDEX([1]Contracts!$C:$C, MATCH(A858, [1]Contracts!$A:$A, 0))))</f>
        <v/>
      </c>
    </row>
    <row r="859" spans="9:10">
      <c r="I859" s="3" t="str">
        <f t="shared" ca="1" si="14"/>
        <v/>
      </c>
      <c r="J859" s="3" t="str">
        <f>IF(OR(F859="",A859=""),"",AND(F859&gt;=INDEX([1]Contracts!$B:$B, MATCH(A859, [1]Contracts!$A:$A, 0)), F859&lt;=INDEX([1]Contracts!$C:$C, MATCH(A859, [1]Contracts!$A:$A, 0))))</f>
        <v/>
      </c>
    </row>
    <row r="860" spans="9:10">
      <c r="I860" s="3" t="str">
        <f t="shared" ca="1" si="14"/>
        <v/>
      </c>
      <c r="J860" s="3" t="str">
        <f>IF(OR(F860="",A860=""),"",AND(F860&gt;=INDEX([1]Contracts!$B:$B, MATCH(A860, [1]Contracts!$A:$A, 0)), F860&lt;=INDEX([1]Contracts!$C:$C, MATCH(A860, [1]Contracts!$A:$A, 0))))</f>
        <v/>
      </c>
    </row>
    <row r="861" spans="9:10">
      <c r="I861" s="3" t="str">
        <f t="shared" ca="1" si="14"/>
        <v/>
      </c>
      <c r="J861" s="3" t="str">
        <f>IF(OR(F861="",A861=""),"",AND(F861&gt;=INDEX([1]Contracts!$B:$B, MATCH(A861, [1]Contracts!$A:$A, 0)), F861&lt;=INDEX([1]Contracts!$C:$C, MATCH(A861, [1]Contracts!$A:$A, 0))))</f>
        <v/>
      </c>
    </row>
    <row r="862" spans="9:10">
      <c r="I862" s="3" t="str">
        <f t="shared" ca="1" si="14"/>
        <v/>
      </c>
      <c r="J862" s="3" t="str">
        <f>IF(OR(F862="",A862=""),"",AND(F862&gt;=INDEX([1]Contracts!$B:$B, MATCH(A862, [1]Contracts!$A:$A, 0)), F862&lt;=INDEX([1]Contracts!$C:$C, MATCH(A862, [1]Contracts!$A:$A, 0))))</f>
        <v/>
      </c>
    </row>
    <row r="863" spans="9:10">
      <c r="I863" s="3" t="str">
        <f t="shared" ca="1" si="14"/>
        <v/>
      </c>
      <c r="J863" s="3" t="str">
        <f>IF(OR(F863="",A863=""),"",AND(F863&gt;=INDEX([1]Contracts!$B:$B, MATCH(A863, [1]Contracts!$A:$A, 0)), F863&lt;=INDEX([1]Contracts!$C:$C, MATCH(A863, [1]Contracts!$A:$A, 0))))</f>
        <v/>
      </c>
    </row>
    <row r="864" spans="9:10">
      <c r="I864" s="3" t="str">
        <f t="shared" ca="1" si="14"/>
        <v/>
      </c>
      <c r="J864" s="3" t="str">
        <f>IF(OR(F864="",A864=""),"",AND(F864&gt;=INDEX([1]Contracts!$B:$B, MATCH(A864, [1]Contracts!$A:$A, 0)), F864&lt;=INDEX([1]Contracts!$C:$C, MATCH(A864, [1]Contracts!$A:$A, 0))))</f>
        <v/>
      </c>
    </row>
    <row r="865" spans="9:10">
      <c r="I865" s="3" t="str">
        <f t="shared" ca="1" si="14"/>
        <v/>
      </c>
      <c r="J865" s="3" t="str">
        <f>IF(OR(F865="",A865=""),"",AND(F865&gt;=INDEX([1]Contracts!$B:$B, MATCH(A865, [1]Contracts!$A:$A, 0)), F865&lt;=INDEX([1]Contracts!$C:$C, MATCH(A865, [1]Contracts!$A:$A, 0))))</f>
        <v/>
      </c>
    </row>
    <row r="866" spans="9:10">
      <c r="I866" s="3" t="str">
        <f t="shared" ca="1" si="14"/>
        <v/>
      </c>
      <c r="J866" s="3" t="str">
        <f>IF(OR(F866="",A866=""),"",AND(F866&gt;=INDEX([1]Contracts!$B:$B, MATCH(A866, [1]Contracts!$A:$A, 0)), F866&lt;=INDEX([1]Contracts!$C:$C, MATCH(A866, [1]Contracts!$A:$A, 0))))</f>
        <v/>
      </c>
    </row>
    <row r="867" spans="9:10">
      <c r="I867" s="3" t="str">
        <f t="shared" ca="1" si="14"/>
        <v/>
      </c>
      <c r="J867" s="3" t="str">
        <f>IF(OR(F867="",A867=""),"",AND(F867&gt;=INDEX([1]Contracts!$B:$B, MATCH(A867, [1]Contracts!$A:$A, 0)), F867&lt;=INDEX([1]Contracts!$C:$C, MATCH(A867, [1]Contracts!$A:$A, 0))))</f>
        <v/>
      </c>
    </row>
    <row r="868" spans="9:10">
      <c r="I868" s="3" t="str">
        <f t="shared" ca="1" si="14"/>
        <v/>
      </c>
      <c r="J868" s="3" t="str">
        <f>IF(OR(F868="",A868=""),"",AND(F868&gt;=INDEX([1]Contracts!$B:$B, MATCH(A868, [1]Contracts!$A:$A, 0)), F868&lt;=INDEX([1]Contracts!$C:$C, MATCH(A868, [1]Contracts!$A:$A, 0))))</f>
        <v/>
      </c>
    </row>
    <row r="869" spans="9:10">
      <c r="I869" s="3" t="str">
        <f t="shared" ca="1" si="14"/>
        <v/>
      </c>
      <c r="J869" s="3" t="str">
        <f>IF(OR(F869="",A869=""),"",AND(F869&gt;=INDEX([1]Contracts!$B:$B, MATCH(A869, [1]Contracts!$A:$A, 0)), F869&lt;=INDEX([1]Contracts!$C:$C, MATCH(A869, [1]Contracts!$A:$A, 0))))</f>
        <v/>
      </c>
    </row>
    <row r="870" spans="9:10">
      <c r="I870" s="3" t="str">
        <f t="shared" ca="1" si="14"/>
        <v/>
      </c>
      <c r="J870" s="3" t="str">
        <f>IF(OR(F870="",A870=""),"",AND(F870&gt;=INDEX([1]Contracts!$B:$B, MATCH(A870, [1]Contracts!$A:$A, 0)), F870&lt;=INDEX([1]Contracts!$C:$C, MATCH(A870, [1]Contracts!$A:$A, 0))))</f>
        <v/>
      </c>
    </row>
    <row r="871" spans="9:10">
      <c r="I871" s="3" t="str">
        <f t="shared" ca="1" si="14"/>
        <v/>
      </c>
      <c r="J871" s="3" t="str">
        <f>IF(OR(F871="",A871=""),"",AND(F871&gt;=INDEX([1]Contracts!$B:$B, MATCH(A871, [1]Contracts!$A:$A, 0)), F871&lt;=INDEX([1]Contracts!$C:$C, MATCH(A871, [1]Contracts!$A:$A, 0))))</f>
        <v/>
      </c>
    </row>
    <row r="872" spans="9:10">
      <c r="I872" s="3" t="str">
        <f t="shared" ca="1" si="14"/>
        <v/>
      </c>
      <c r="J872" s="3" t="str">
        <f>IF(OR(F872="",A872=""),"",AND(F872&gt;=INDEX([1]Contracts!$B:$B, MATCH(A872, [1]Contracts!$A:$A, 0)), F872&lt;=INDEX([1]Contracts!$C:$C, MATCH(A872, [1]Contracts!$A:$A, 0))))</f>
        <v/>
      </c>
    </row>
    <row r="873" spans="9:10">
      <c r="I873" s="3" t="str">
        <f t="shared" ca="1" si="14"/>
        <v/>
      </c>
      <c r="J873" s="3" t="str">
        <f>IF(OR(F873="",A873=""),"",AND(F873&gt;=INDEX([1]Contracts!$B:$B, MATCH(A873, [1]Contracts!$A:$A, 0)), F873&lt;=INDEX([1]Contracts!$C:$C, MATCH(A873, [1]Contracts!$A:$A, 0))))</f>
        <v/>
      </c>
    </row>
    <row r="874" spans="9:10">
      <c r="I874" s="3" t="str">
        <f t="shared" ca="1" si="14"/>
        <v/>
      </c>
      <c r="J874" s="3" t="str">
        <f>IF(OR(F874="",A874=""),"",AND(F874&gt;=INDEX([1]Contracts!$B:$B, MATCH(A874, [1]Contracts!$A:$A, 0)), F874&lt;=INDEX([1]Contracts!$C:$C, MATCH(A874, [1]Contracts!$A:$A, 0))))</f>
        <v/>
      </c>
    </row>
    <row r="875" spans="9:10">
      <c r="I875" s="3" t="str">
        <f t="shared" ca="1" si="14"/>
        <v/>
      </c>
      <c r="J875" s="3" t="str">
        <f>IF(OR(F875="",A875=""),"",AND(F875&gt;=INDEX([1]Contracts!$B:$B, MATCH(A875, [1]Contracts!$A:$A, 0)), F875&lt;=INDEX([1]Contracts!$C:$C, MATCH(A875, [1]Contracts!$A:$A, 0))))</f>
        <v/>
      </c>
    </row>
    <row r="876" spans="9:10">
      <c r="I876" s="3" t="str">
        <f t="shared" ca="1" si="14"/>
        <v/>
      </c>
      <c r="J876" s="3" t="str">
        <f>IF(OR(F876="",A876=""),"",AND(F876&gt;=INDEX([1]Contracts!$B:$B, MATCH(A876, [1]Contracts!$A:$A, 0)), F876&lt;=INDEX([1]Contracts!$C:$C, MATCH(A876, [1]Contracts!$A:$A, 0))))</f>
        <v/>
      </c>
    </row>
    <row r="877" spans="9:10">
      <c r="I877" s="3" t="str">
        <f t="shared" ca="1" si="14"/>
        <v/>
      </c>
      <c r="J877" s="3" t="str">
        <f>IF(OR(F877="",A877=""),"",AND(F877&gt;=INDEX([1]Contracts!$B:$B, MATCH(A877, [1]Contracts!$A:$A, 0)), F877&lt;=INDEX([1]Contracts!$C:$C, MATCH(A877, [1]Contracts!$A:$A, 0))))</f>
        <v/>
      </c>
    </row>
    <row r="878" spans="9:10">
      <c r="I878" s="3" t="str">
        <f t="shared" ca="1" si="14"/>
        <v/>
      </c>
      <c r="J878" s="3" t="str">
        <f>IF(OR(F878="",A878=""),"",AND(F878&gt;=INDEX([1]Contracts!$B:$B, MATCH(A878, [1]Contracts!$A:$A, 0)), F878&lt;=INDEX([1]Contracts!$C:$C, MATCH(A878, [1]Contracts!$A:$A, 0))))</f>
        <v/>
      </c>
    </row>
    <row r="879" spans="9:10">
      <c r="I879" s="3" t="str">
        <f t="shared" ca="1" si="14"/>
        <v/>
      </c>
      <c r="J879" s="3" t="str">
        <f>IF(OR(F879="",A879=""),"",AND(F879&gt;=INDEX([1]Contracts!$B:$B, MATCH(A879, [1]Contracts!$A:$A, 0)), F879&lt;=INDEX([1]Contracts!$C:$C, MATCH(A879, [1]Contracts!$A:$A, 0))))</f>
        <v/>
      </c>
    </row>
    <row r="880" spans="9:10">
      <c r="I880" s="3" t="str">
        <f t="shared" ca="1" si="14"/>
        <v/>
      </c>
      <c r="J880" s="3" t="str">
        <f>IF(OR(F880="",A880=""),"",AND(F880&gt;=INDEX([1]Contracts!$B:$B, MATCH(A880, [1]Contracts!$A:$A, 0)), F880&lt;=INDEX([1]Contracts!$C:$C, MATCH(A880, [1]Contracts!$A:$A, 0))))</f>
        <v/>
      </c>
    </row>
    <row r="881" spans="9:10">
      <c r="I881" s="3" t="str">
        <f t="shared" ca="1" si="14"/>
        <v/>
      </c>
      <c r="J881" s="3" t="str">
        <f>IF(OR(F881="",A881=""),"",AND(F881&gt;=INDEX([1]Contracts!$B:$B, MATCH(A881, [1]Contracts!$A:$A, 0)), F881&lt;=INDEX([1]Contracts!$C:$C, MATCH(A881, [1]Contracts!$A:$A, 0))))</f>
        <v/>
      </c>
    </row>
    <row r="882" spans="9:10">
      <c r="I882" s="3" t="str">
        <f t="shared" ca="1" si="14"/>
        <v/>
      </c>
      <c r="J882" s="3" t="str">
        <f>IF(OR(F882="",A882=""),"",AND(F882&gt;=INDEX([1]Contracts!$B:$B, MATCH(A882, [1]Contracts!$A:$A, 0)), F882&lt;=INDEX([1]Contracts!$C:$C, MATCH(A882, [1]Contracts!$A:$A, 0))))</f>
        <v/>
      </c>
    </row>
    <row r="883" spans="9:10">
      <c r="I883" s="3" t="str">
        <f t="shared" ca="1" si="14"/>
        <v/>
      </c>
      <c r="J883" s="3" t="str">
        <f>IF(OR(F883="",A883=""),"",AND(F883&gt;=INDEX([1]Contracts!$B:$B, MATCH(A883, [1]Contracts!$A:$A, 0)), F883&lt;=INDEX([1]Contracts!$C:$C, MATCH(A883, [1]Contracts!$A:$A, 0))))</f>
        <v/>
      </c>
    </row>
    <row r="884" spans="9:10">
      <c r="I884" s="3" t="str">
        <f t="shared" ca="1" si="14"/>
        <v/>
      </c>
      <c r="J884" s="3" t="str">
        <f>IF(OR(F884="",A884=""),"",AND(F884&gt;=INDEX([1]Contracts!$B:$B, MATCH(A884, [1]Contracts!$A:$A, 0)), F884&lt;=INDEX([1]Contracts!$C:$C, MATCH(A884, [1]Contracts!$A:$A, 0))))</f>
        <v/>
      </c>
    </row>
    <row r="885" spans="9:10">
      <c r="I885" s="3" t="str">
        <f t="shared" ca="1" si="14"/>
        <v/>
      </c>
      <c r="J885" s="3" t="str">
        <f>IF(OR(F885="",A885=""),"",AND(F885&gt;=INDEX([1]Contracts!$B:$B, MATCH(A885, [1]Contracts!$A:$A, 0)), F885&lt;=INDEX([1]Contracts!$C:$C, MATCH(A885, [1]Contracts!$A:$A, 0))))</f>
        <v/>
      </c>
    </row>
    <row r="886" spans="9:10">
      <c r="I886" s="3" t="str">
        <f t="shared" ca="1" si="14"/>
        <v/>
      </c>
      <c r="J886" s="3" t="str">
        <f>IF(OR(F886="",A886=""),"",AND(F886&gt;=INDEX([1]Contracts!$B:$B, MATCH(A886, [1]Contracts!$A:$A, 0)), F886&lt;=INDEX([1]Contracts!$C:$C, MATCH(A886, [1]Contracts!$A:$A, 0))))</f>
        <v/>
      </c>
    </row>
    <row r="887" spans="9:10">
      <c r="I887" s="3" t="str">
        <f t="shared" ca="1" si="14"/>
        <v/>
      </c>
      <c r="J887" s="3" t="str">
        <f>IF(OR(F887="",A887=""),"",AND(F887&gt;=INDEX([1]Contracts!$B:$B, MATCH(A887, [1]Contracts!$A:$A, 0)), F887&lt;=INDEX([1]Contracts!$C:$C, MATCH(A887, [1]Contracts!$A:$A, 0))))</f>
        <v/>
      </c>
    </row>
    <row r="888" spans="9:10">
      <c r="I888" s="3" t="str">
        <f t="shared" ca="1" si="14"/>
        <v/>
      </c>
      <c r="J888" s="3" t="str">
        <f>IF(OR(F888="",A888=""),"",AND(F888&gt;=INDEX([1]Contracts!$B:$B, MATCH(A888, [1]Contracts!$A:$A, 0)), F888&lt;=INDEX([1]Contracts!$C:$C, MATCH(A888, [1]Contracts!$A:$A, 0))))</f>
        <v/>
      </c>
    </row>
    <row r="889" spans="9:10">
      <c r="I889" s="3" t="str">
        <f t="shared" ca="1" si="14"/>
        <v/>
      </c>
      <c r="J889" s="3" t="str">
        <f>IF(OR(F889="",A889=""),"",AND(F889&gt;=INDEX([1]Contracts!$B:$B, MATCH(A889, [1]Contracts!$A:$A, 0)), F889&lt;=INDEX([1]Contracts!$C:$C, MATCH(A889, [1]Contracts!$A:$A, 0))))</f>
        <v/>
      </c>
    </row>
    <row r="890" spans="9:10">
      <c r="I890" s="3" t="str">
        <f t="shared" ca="1" si="14"/>
        <v/>
      </c>
      <c r="J890" s="3" t="str">
        <f>IF(OR(F890="",A890=""),"",AND(F890&gt;=INDEX([1]Contracts!$B:$B, MATCH(A890, [1]Contracts!$A:$A, 0)), F890&lt;=INDEX([1]Contracts!$C:$C, MATCH(A890, [1]Contracts!$A:$A, 0))))</f>
        <v/>
      </c>
    </row>
    <row r="891" spans="9:10">
      <c r="I891" s="3" t="str">
        <f t="shared" ca="1" si="14"/>
        <v/>
      </c>
      <c r="J891" s="3" t="str">
        <f>IF(OR(F891="",A891=""),"",AND(F891&gt;=INDEX([1]Contracts!$B:$B, MATCH(A891, [1]Contracts!$A:$A, 0)), F891&lt;=INDEX([1]Contracts!$C:$C, MATCH(A891, [1]Contracts!$A:$A, 0))))</f>
        <v/>
      </c>
    </row>
    <row r="892" spans="9:10">
      <c r="I892" s="3" t="str">
        <f t="shared" ca="1" si="14"/>
        <v/>
      </c>
      <c r="J892" s="3" t="str">
        <f>IF(OR(F892="",A892=""),"",AND(F892&gt;=INDEX([1]Contracts!$B:$B, MATCH(A892, [1]Contracts!$A:$A, 0)), F892&lt;=INDEX([1]Contracts!$C:$C, MATCH(A892, [1]Contracts!$A:$A, 0))))</f>
        <v/>
      </c>
    </row>
    <row r="893" spans="9:10">
      <c r="I893" s="3" t="str">
        <f t="shared" ca="1" si="14"/>
        <v/>
      </c>
      <c r="J893" s="3" t="str">
        <f>IF(OR(F893="",A893=""),"",AND(F893&gt;=INDEX([1]Contracts!$B:$B, MATCH(A893, [1]Contracts!$A:$A, 0)), F893&lt;=INDEX([1]Contracts!$C:$C, MATCH(A893, [1]Contracts!$A:$A, 0))))</f>
        <v/>
      </c>
    </row>
    <row r="894" spans="9:10">
      <c r="I894" s="3" t="str">
        <f t="shared" ca="1" si="14"/>
        <v/>
      </c>
      <c r="J894" s="3" t="str">
        <f>IF(OR(F894="",A894=""),"",AND(F894&gt;=INDEX([1]Contracts!$B:$B, MATCH(A894, [1]Contracts!$A:$A, 0)), F894&lt;=INDEX([1]Contracts!$C:$C, MATCH(A894, [1]Contracts!$A:$A, 0))))</f>
        <v/>
      </c>
    </row>
    <row r="895" spans="9:10">
      <c r="I895" s="3" t="str">
        <f t="shared" ca="1" si="14"/>
        <v/>
      </c>
      <c r="J895" s="3" t="str">
        <f>IF(OR(F895="",A895=""),"",AND(F895&gt;=INDEX([1]Contracts!$B:$B, MATCH(A895, [1]Contracts!$A:$A, 0)), F895&lt;=INDEX([1]Contracts!$C:$C, MATCH(A895, [1]Contracts!$A:$A, 0))))</f>
        <v/>
      </c>
    </row>
    <row r="896" spans="9:10">
      <c r="I896" s="3" t="str">
        <f t="shared" ca="1" si="14"/>
        <v/>
      </c>
      <c r="J896" s="3" t="str">
        <f>IF(OR(F896="",A896=""),"",AND(F896&gt;=INDEX([1]Contracts!$B:$B, MATCH(A896, [1]Contracts!$A:$A, 0)), F896&lt;=INDEX([1]Contracts!$C:$C, MATCH(A896, [1]Contracts!$A:$A, 0))))</f>
        <v/>
      </c>
    </row>
    <row r="897" spans="9:10">
      <c r="I897" s="3" t="str">
        <f t="shared" ca="1" si="14"/>
        <v/>
      </c>
      <c r="J897" s="3" t="str">
        <f>IF(OR(F897="",A897=""),"",AND(F897&gt;=INDEX([1]Contracts!$B:$B, MATCH(A897, [1]Contracts!$A:$A, 0)), F897&lt;=INDEX([1]Contracts!$C:$C, MATCH(A897, [1]Contracts!$A:$A, 0))))</f>
        <v/>
      </c>
    </row>
    <row r="898" spans="9:10">
      <c r="I898" s="3" t="str">
        <f t="shared" ca="1" si="14"/>
        <v/>
      </c>
      <c r="J898" s="3" t="str">
        <f>IF(OR(F898="",A898=""),"",AND(F898&gt;=INDEX([1]Contracts!$B:$B, MATCH(A898, [1]Contracts!$A:$A, 0)), F898&lt;=INDEX([1]Contracts!$C:$C, MATCH(A898, [1]Contracts!$A:$A, 0))))</f>
        <v/>
      </c>
    </row>
    <row r="899" spans="9:10">
      <c r="I899" s="3" t="str">
        <f t="shared" ca="1" si="14"/>
        <v/>
      </c>
      <c r="J899" s="3" t="str">
        <f>IF(OR(F899="",A899=""),"",AND(F899&gt;=INDEX([1]Contracts!$B:$B, MATCH(A899, [1]Contracts!$A:$A, 0)), F899&lt;=INDEX([1]Contracts!$C:$C, MATCH(A899, [1]Contracts!$A:$A, 0))))</f>
        <v/>
      </c>
    </row>
    <row r="900" spans="9:10">
      <c r="I900" s="3" t="str">
        <f t="shared" ca="1" si="14"/>
        <v/>
      </c>
      <c r="J900" s="3" t="str">
        <f>IF(OR(F900="",A900=""),"",AND(F900&gt;=INDEX([1]Contracts!$B:$B, MATCH(A900, [1]Contracts!$A:$A, 0)), F900&lt;=INDEX([1]Contracts!$C:$C, MATCH(A900, [1]Contracts!$A:$A, 0))))</f>
        <v/>
      </c>
    </row>
    <row r="901" spans="9:10">
      <c r="I901" s="3" t="str">
        <f t="shared" ca="1" si="14"/>
        <v/>
      </c>
      <c r="J901" s="3" t="str">
        <f>IF(OR(F901="",A901=""),"",AND(F901&gt;=INDEX([1]Contracts!$B:$B, MATCH(A901, [1]Contracts!$A:$A, 0)), F901&lt;=INDEX([1]Contracts!$C:$C, MATCH(A901, [1]Contracts!$A:$A, 0))))</f>
        <v/>
      </c>
    </row>
    <row r="902" spans="9:10">
      <c r="I902" s="3" t="str">
        <f t="shared" ca="1" si="14"/>
        <v/>
      </c>
      <c r="J902" s="3" t="str">
        <f>IF(OR(F902="",A902=""),"",AND(F902&gt;=INDEX([1]Contracts!$B:$B, MATCH(A902, [1]Contracts!$A:$A, 0)), F902&lt;=INDEX([1]Contracts!$C:$C, MATCH(A902, [1]Contracts!$A:$A, 0))))</f>
        <v/>
      </c>
    </row>
    <row r="903" spans="9:10">
      <c r="I903" s="3" t="str">
        <f t="shared" ca="1" si="14"/>
        <v/>
      </c>
      <c r="J903" s="3" t="str">
        <f>IF(OR(F903="",A903=""),"",AND(F903&gt;=INDEX([1]Contracts!$B:$B, MATCH(A903, [1]Contracts!$A:$A, 0)), F903&lt;=INDEX([1]Contracts!$C:$C, MATCH(A903, [1]Contracts!$A:$A, 0))))</f>
        <v/>
      </c>
    </row>
    <row r="904" spans="9:10">
      <c r="I904" s="3" t="str">
        <f t="shared" ref="I904:I967" ca="1" si="15">IF(F904="","",F904-TODAY())</f>
        <v/>
      </c>
      <c r="J904" s="3" t="str">
        <f>IF(OR(F904="",A904=""),"",AND(F904&gt;=INDEX([1]Contracts!$B:$B, MATCH(A904, [1]Contracts!$A:$A, 0)), F904&lt;=INDEX([1]Contracts!$C:$C, MATCH(A904, [1]Contracts!$A:$A, 0))))</f>
        <v/>
      </c>
    </row>
    <row r="905" spans="9:10">
      <c r="I905" s="3" t="str">
        <f t="shared" ca="1" si="15"/>
        <v/>
      </c>
      <c r="J905" s="3" t="str">
        <f>IF(OR(F905="",A905=""),"",AND(F905&gt;=INDEX([1]Contracts!$B:$B, MATCH(A905, [1]Contracts!$A:$A, 0)), F905&lt;=INDEX([1]Contracts!$C:$C, MATCH(A905, [1]Contracts!$A:$A, 0))))</f>
        <v/>
      </c>
    </row>
    <row r="906" spans="9:10">
      <c r="I906" s="3" t="str">
        <f t="shared" ca="1" si="15"/>
        <v/>
      </c>
      <c r="J906" s="3" t="str">
        <f>IF(OR(F906="",A906=""),"",AND(F906&gt;=INDEX([1]Contracts!$B:$B, MATCH(A906, [1]Contracts!$A:$A, 0)), F906&lt;=INDEX([1]Contracts!$C:$C, MATCH(A906, [1]Contracts!$A:$A, 0))))</f>
        <v/>
      </c>
    </row>
    <row r="907" spans="9:10">
      <c r="I907" s="3" t="str">
        <f t="shared" ca="1" si="15"/>
        <v/>
      </c>
      <c r="J907" s="3" t="str">
        <f>IF(OR(F907="",A907=""),"",AND(F907&gt;=INDEX([1]Contracts!$B:$B, MATCH(A907, [1]Contracts!$A:$A, 0)), F907&lt;=INDEX([1]Contracts!$C:$C, MATCH(A907, [1]Contracts!$A:$A, 0))))</f>
        <v/>
      </c>
    </row>
    <row r="908" spans="9:10">
      <c r="I908" s="3" t="str">
        <f t="shared" ca="1" si="15"/>
        <v/>
      </c>
      <c r="J908" s="3" t="str">
        <f>IF(OR(F908="",A908=""),"",AND(F908&gt;=INDEX([1]Contracts!$B:$B, MATCH(A908, [1]Contracts!$A:$A, 0)), F908&lt;=INDEX([1]Contracts!$C:$C, MATCH(A908, [1]Contracts!$A:$A, 0))))</f>
        <v/>
      </c>
    </row>
    <row r="909" spans="9:10">
      <c r="I909" s="3" t="str">
        <f t="shared" ca="1" si="15"/>
        <v/>
      </c>
      <c r="J909" s="3" t="str">
        <f>IF(OR(F909="",A909=""),"",AND(F909&gt;=INDEX([1]Contracts!$B:$B, MATCH(A909, [1]Contracts!$A:$A, 0)), F909&lt;=INDEX([1]Contracts!$C:$C, MATCH(A909, [1]Contracts!$A:$A, 0))))</f>
        <v/>
      </c>
    </row>
    <row r="910" spans="9:10">
      <c r="I910" s="3" t="str">
        <f t="shared" ca="1" si="15"/>
        <v/>
      </c>
      <c r="J910" s="3" t="str">
        <f>IF(OR(F910="",A910=""),"",AND(F910&gt;=INDEX([1]Contracts!$B:$B, MATCH(A910, [1]Contracts!$A:$A, 0)), F910&lt;=INDEX([1]Contracts!$C:$C, MATCH(A910, [1]Contracts!$A:$A, 0))))</f>
        <v/>
      </c>
    </row>
    <row r="911" spans="9:10">
      <c r="I911" s="3" t="str">
        <f t="shared" ca="1" si="15"/>
        <v/>
      </c>
      <c r="J911" s="3" t="str">
        <f>IF(OR(F911="",A911=""),"",AND(F911&gt;=INDEX([1]Contracts!$B:$B, MATCH(A911, [1]Contracts!$A:$A, 0)), F911&lt;=INDEX([1]Contracts!$C:$C, MATCH(A911, [1]Contracts!$A:$A, 0))))</f>
        <v/>
      </c>
    </row>
    <row r="912" spans="9:10">
      <c r="I912" s="3" t="str">
        <f t="shared" ca="1" si="15"/>
        <v/>
      </c>
      <c r="J912" s="3" t="str">
        <f>IF(OR(F912="",A912=""),"",AND(F912&gt;=INDEX([1]Contracts!$B:$B, MATCH(A912, [1]Contracts!$A:$A, 0)), F912&lt;=INDEX([1]Contracts!$C:$C, MATCH(A912, [1]Contracts!$A:$A, 0))))</f>
        <v/>
      </c>
    </row>
    <row r="913" spans="9:10">
      <c r="I913" s="3" t="str">
        <f t="shared" ca="1" si="15"/>
        <v/>
      </c>
      <c r="J913" s="3" t="str">
        <f>IF(OR(F913="",A913=""),"",AND(F913&gt;=INDEX([1]Contracts!$B:$B, MATCH(A913, [1]Contracts!$A:$A, 0)), F913&lt;=INDEX([1]Contracts!$C:$C, MATCH(A913, [1]Contracts!$A:$A, 0))))</f>
        <v/>
      </c>
    </row>
    <row r="914" spans="9:10">
      <c r="I914" s="3" t="str">
        <f t="shared" ca="1" si="15"/>
        <v/>
      </c>
      <c r="J914" s="3" t="str">
        <f>IF(OR(F914="",A914=""),"",AND(F914&gt;=INDEX([1]Contracts!$B:$B, MATCH(A914, [1]Contracts!$A:$A, 0)), F914&lt;=INDEX([1]Contracts!$C:$C, MATCH(A914, [1]Contracts!$A:$A, 0))))</f>
        <v/>
      </c>
    </row>
    <row r="915" spans="9:10">
      <c r="I915" s="3" t="str">
        <f t="shared" ca="1" si="15"/>
        <v/>
      </c>
      <c r="J915" s="3" t="str">
        <f>IF(OR(F915="",A915=""),"",AND(F915&gt;=INDEX([1]Contracts!$B:$B, MATCH(A915, [1]Contracts!$A:$A, 0)), F915&lt;=INDEX([1]Contracts!$C:$C, MATCH(A915, [1]Contracts!$A:$A, 0))))</f>
        <v/>
      </c>
    </row>
    <row r="916" spans="9:10">
      <c r="I916" s="3" t="str">
        <f t="shared" ca="1" si="15"/>
        <v/>
      </c>
      <c r="J916" s="3" t="str">
        <f>IF(OR(F916="",A916=""),"",AND(F916&gt;=INDEX([1]Contracts!$B:$B, MATCH(A916, [1]Contracts!$A:$A, 0)), F916&lt;=INDEX([1]Contracts!$C:$C, MATCH(A916, [1]Contracts!$A:$A, 0))))</f>
        <v/>
      </c>
    </row>
    <row r="917" spans="9:10">
      <c r="I917" s="3" t="str">
        <f t="shared" ca="1" si="15"/>
        <v/>
      </c>
      <c r="J917" s="3" t="str">
        <f>IF(OR(F917="",A917=""),"",AND(F917&gt;=INDEX([1]Contracts!$B:$B, MATCH(A917, [1]Contracts!$A:$A, 0)), F917&lt;=INDEX([1]Contracts!$C:$C, MATCH(A917, [1]Contracts!$A:$A, 0))))</f>
        <v/>
      </c>
    </row>
    <row r="918" spans="9:10">
      <c r="I918" s="3" t="str">
        <f t="shared" ca="1" si="15"/>
        <v/>
      </c>
      <c r="J918" s="3" t="str">
        <f>IF(OR(F918="",A918=""),"",AND(F918&gt;=INDEX([1]Contracts!$B:$B, MATCH(A918, [1]Contracts!$A:$A, 0)), F918&lt;=INDEX([1]Contracts!$C:$C, MATCH(A918, [1]Contracts!$A:$A, 0))))</f>
        <v/>
      </c>
    </row>
    <row r="919" spans="9:10">
      <c r="I919" s="3" t="str">
        <f t="shared" ca="1" si="15"/>
        <v/>
      </c>
      <c r="J919" s="3" t="str">
        <f>IF(OR(F919="",A919=""),"",AND(F919&gt;=INDEX([1]Contracts!$B:$B, MATCH(A919, [1]Contracts!$A:$A, 0)), F919&lt;=INDEX([1]Contracts!$C:$C, MATCH(A919, [1]Contracts!$A:$A, 0))))</f>
        <v/>
      </c>
    </row>
    <row r="920" spans="9:10">
      <c r="I920" s="3" t="str">
        <f t="shared" ca="1" si="15"/>
        <v/>
      </c>
      <c r="J920" s="3" t="str">
        <f>IF(OR(F920="",A920=""),"",AND(F920&gt;=INDEX([1]Contracts!$B:$B, MATCH(A920, [1]Contracts!$A:$A, 0)), F920&lt;=INDEX([1]Contracts!$C:$C, MATCH(A920, [1]Contracts!$A:$A, 0))))</f>
        <v/>
      </c>
    </row>
    <row r="921" spans="9:10">
      <c r="I921" s="3" t="str">
        <f t="shared" ca="1" si="15"/>
        <v/>
      </c>
      <c r="J921" s="3" t="str">
        <f>IF(OR(F921="",A921=""),"",AND(F921&gt;=INDEX([1]Contracts!$B:$B, MATCH(A921, [1]Contracts!$A:$A, 0)), F921&lt;=INDEX([1]Contracts!$C:$C, MATCH(A921, [1]Contracts!$A:$A, 0))))</f>
        <v/>
      </c>
    </row>
    <row r="922" spans="9:10">
      <c r="I922" s="3" t="str">
        <f t="shared" ca="1" si="15"/>
        <v/>
      </c>
      <c r="J922" s="3" t="str">
        <f>IF(OR(F922="",A922=""),"",AND(F922&gt;=INDEX([1]Contracts!$B:$B, MATCH(A922, [1]Contracts!$A:$A, 0)), F922&lt;=INDEX([1]Contracts!$C:$C, MATCH(A922, [1]Contracts!$A:$A, 0))))</f>
        <v/>
      </c>
    </row>
    <row r="923" spans="9:10">
      <c r="I923" s="3" t="str">
        <f t="shared" ca="1" si="15"/>
        <v/>
      </c>
      <c r="J923" s="3" t="str">
        <f>IF(OR(F923="",A923=""),"",AND(F923&gt;=INDEX([1]Contracts!$B:$B, MATCH(A923, [1]Contracts!$A:$A, 0)), F923&lt;=INDEX([1]Contracts!$C:$C, MATCH(A923, [1]Contracts!$A:$A, 0))))</f>
        <v/>
      </c>
    </row>
    <row r="924" spans="9:10">
      <c r="I924" s="3" t="str">
        <f t="shared" ca="1" si="15"/>
        <v/>
      </c>
      <c r="J924" s="3" t="str">
        <f>IF(OR(F924="",A924=""),"",AND(F924&gt;=INDEX([1]Contracts!$B:$B, MATCH(A924, [1]Contracts!$A:$A, 0)), F924&lt;=INDEX([1]Contracts!$C:$C, MATCH(A924, [1]Contracts!$A:$A, 0))))</f>
        <v/>
      </c>
    </row>
    <row r="925" spans="9:10">
      <c r="I925" s="3" t="str">
        <f t="shared" ca="1" si="15"/>
        <v/>
      </c>
      <c r="J925" s="3" t="str">
        <f>IF(OR(F925="",A925=""),"",AND(F925&gt;=INDEX([1]Contracts!$B:$B, MATCH(A925, [1]Contracts!$A:$A, 0)), F925&lt;=INDEX([1]Contracts!$C:$C, MATCH(A925, [1]Contracts!$A:$A, 0))))</f>
        <v/>
      </c>
    </row>
    <row r="926" spans="9:10">
      <c r="I926" s="3" t="str">
        <f t="shared" ca="1" si="15"/>
        <v/>
      </c>
      <c r="J926" s="3" t="str">
        <f>IF(OR(F926="",A926=""),"",AND(F926&gt;=INDEX([1]Contracts!$B:$B, MATCH(A926, [1]Contracts!$A:$A, 0)), F926&lt;=INDEX([1]Contracts!$C:$C, MATCH(A926, [1]Contracts!$A:$A, 0))))</f>
        <v/>
      </c>
    </row>
    <row r="927" spans="9:10">
      <c r="I927" s="3" t="str">
        <f t="shared" ca="1" si="15"/>
        <v/>
      </c>
      <c r="J927" s="3" t="str">
        <f>IF(OR(F927="",A927=""),"",AND(F927&gt;=INDEX([1]Contracts!$B:$B, MATCH(A927, [1]Contracts!$A:$A, 0)), F927&lt;=INDEX([1]Contracts!$C:$C, MATCH(A927, [1]Contracts!$A:$A, 0))))</f>
        <v/>
      </c>
    </row>
    <row r="928" spans="9:10">
      <c r="I928" s="3" t="str">
        <f t="shared" ca="1" si="15"/>
        <v/>
      </c>
      <c r="J928" s="3" t="str">
        <f>IF(OR(F928="",A928=""),"",AND(F928&gt;=INDEX([1]Contracts!$B:$B, MATCH(A928, [1]Contracts!$A:$A, 0)), F928&lt;=INDEX([1]Contracts!$C:$C, MATCH(A928, [1]Contracts!$A:$A, 0))))</f>
        <v/>
      </c>
    </row>
    <row r="929" spans="9:10">
      <c r="I929" s="3" t="str">
        <f t="shared" ca="1" si="15"/>
        <v/>
      </c>
      <c r="J929" s="3" t="str">
        <f>IF(OR(F929="",A929=""),"",AND(F929&gt;=INDEX([1]Contracts!$B:$B, MATCH(A929, [1]Contracts!$A:$A, 0)), F929&lt;=INDEX([1]Contracts!$C:$C, MATCH(A929, [1]Contracts!$A:$A, 0))))</f>
        <v/>
      </c>
    </row>
    <row r="930" spans="9:10">
      <c r="I930" s="3" t="str">
        <f t="shared" ca="1" si="15"/>
        <v/>
      </c>
      <c r="J930" s="3" t="str">
        <f>IF(OR(F930="",A930=""),"",AND(F930&gt;=INDEX([1]Contracts!$B:$B, MATCH(A930, [1]Contracts!$A:$A, 0)), F930&lt;=INDEX([1]Contracts!$C:$C, MATCH(A930, [1]Contracts!$A:$A, 0))))</f>
        <v/>
      </c>
    </row>
    <row r="931" spans="9:10">
      <c r="I931" s="3" t="str">
        <f t="shared" ca="1" si="15"/>
        <v/>
      </c>
      <c r="J931" s="3" t="str">
        <f>IF(OR(F931="",A931=""),"",AND(F931&gt;=INDEX([1]Contracts!$B:$B, MATCH(A931, [1]Contracts!$A:$A, 0)), F931&lt;=INDEX([1]Contracts!$C:$C, MATCH(A931, [1]Contracts!$A:$A, 0))))</f>
        <v/>
      </c>
    </row>
    <row r="932" spans="9:10">
      <c r="I932" s="3" t="str">
        <f t="shared" ca="1" si="15"/>
        <v/>
      </c>
      <c r="J932" s="3" t="str">
        <f>IF(OR(F932="",A932=""),"",AND(F932&gt;=INDEX([1]Contracts!$B:$B, MATCH(A932, [1]Contracts!$A:$A, 0)), F932&lt;=INDEX([1]Contracts!$C:$C, MATCH(A932, [1]Contracts!$A:$A, 0))))</f>
        <v/>
      </c>
    </row>
    <row r="933" spans="9:10">
      <c r="I933" s="3" t="str">
        <f t="shared" ca="1" si="15"/>
        <v/>
      </c>
      <c r="J933" s="3" t="str">
        <f>IF(OR(F933="",A933=""),"",AND(F933&gt;=INDEX([1]Contracts!$B:$B, MATCH(A933, [1]Contracts!$A:$A, 0)), F933&lt;=INDEX([1]Contracts!$C:$C, MATCH(A933, [1]Contracts!$A:$A, 0))))</f>
        <v/>
      </c>
    </row>
    <row r="934" spans="9:10">
      <c r="I934" s="3" t="str">
        <f t="shared" ca="1" si="15"/>
        <v/>
      </c>
      <c r="J934" s="3" t="str">
        <f>IF(OR(F934="",A934=""),"",AND(F934&gt;=INDEX([1]Contracts!$B:$B, MATCH(A934, [1]Contracts!$A:$A, 0)), F934&lt;=INDEX([1]Contracts!$C:$C, MATCH(A934, [1]Contracts!$A:$A, 0))))</f>
        <v/>
      </c>
    </row>
    <row r="935" spans="9:10">
      <c r="I935" s="3" t="str">
        <f t="shared" ca="1" si="15"/>
        <v/>
      </c>
      <c r="J935" s="3" t="str">
        <f>IF(OR(F935="",A935=""),"",AND(F935&gt;=INDEX([1]Contracts!$B:$B, MATCH(A935, [1]Contracts!$A:$A, 0)), F935&lt;=INDEX([1]Contracts!$C:$C, MATCH(A935, [1]Contracts!$A:$A, 0))))</f>
        <v/>
      </c>
    </row>
    <row r="936" spans="9:10">
      <c r="I936" s="3" t="str">
        <f t="shared" ca="1" si="15"/>
        <v/>
      </c>
      <c r="J936" s="3" t="str">
        <f>IF(OR(F936="",A936=""),"",AND(F936&gt;=INDEX([1]Contracts!$B:$B, MATCH(A936, [1]Contracts!$A:$A, 0)), F936&lt;=INDEX([1]Contracts!$C:$C, MATCH(A936, [1]Contracts!$A:$A, 0))))</f>
        <v/>
      </c>
    </row>
    <row r="937" spans="9:10">
      <c r="I937" s="3" t="str">
        <f t="shared" ca="1" si="15"/>
        <v/>
      </c>
      <c r="J937" s="3" t="str">
        <f>IF(OR(F937="",A937=""),"",AND(F937&gt;=INDEX([1]Contracts!$B:$B, MATCH(A937, [1]Contracts!$A:$A, 0)), F937&lt;=INDEX([1]Contracts!$C:$C, MATCH(A937, [1]Contracts!$A:$A, 0))))</f>
        <v/>
      </c>
    </row>
    <row r="938" spans="9:10">
      <c r="I938" s="3" t="str">
        <f t="shared" ca="1" si="15"/>
        <v/>
      </c>
      <c r="J938" s="3" t="str">
        <f>IF(OR(F938="",A938=""),"",AND(F938&gt;=INDEX([1]Contracts!$B:$B, MATCH(A938, [1]Contracts!$A:$A, 0)), F938&lt;=INDEX([1]Contracts!$C:$C, MATCH(A938, [1]Contracts!$A:$A, 0))))</f>
        <v/>
      </c>
    </row>
    <row r="939" spans="9:10">
      <c r="I939" s="3" t="str">
        <f t="shared" ca="1" si="15"/>
        <v/>
      </c>
      <c r="J939" s="3" t="str">
        <f>IF(OR(F939="",A939=""),"",AND(F939&gt;=INDEX([1]Contracts!$B:$B, MATCH(A939, [1]Contracts!$A:$A, 0)), F939&lt;=INDEX([1]Contracts!$C:$C, MATCH(A939, [1]Contracts!$A:$A, 0))))</f>
        <v/>
      </c>
    </row>
    <row r="940" spans="9:10">
      <c r="I940" s="3" t="str">
        <f t="shared" ca="1" si="15"/>
        <v/>
      </c>
      <c r="J940" s="3" t="str">
        <f>IF(OR(F940="",A940=""),"",AND(F940&gt;=INDEX([1]Contracts!$B:$B, MATCH(A940, [1]Contracts!$A:$A, 0)), F940&lt;=INDEX([1]Contracts!$C:$C, MATCH(A940, [1]Contracts!$A:$A, 0))))</f>
        <v/>
      </c>
    </row>
    <row r="941" spans="9:10">
      <c r="I941" s="3" t="str">
        <f t="shared" ca="1" si="15"/>
        <v/>
      </c>
      <c r="J941" s="3" t="str">
        <f>IF(OR(F941="",A941=""),"",AND(F941&gt;=INDEX([1]Contracts!$B:$B, MATCH(A941, [1]Contracts!$A:$A, 0)), F941&lt;=INDEX([1]Contracts!$C:$C, MATCH(A941, [1]Contracts!$A:$A, 0))))</f>
        <v/>
      </c>
    </row>
    <row r="942" spans="9:10">
      <c r="I942" s="3" t="str">
        <f t="shared" ca="1" si="15"/>
        <v/>
      </c>
      <c r="J942" s="3" t="str">
        <f>IF(OR(F942="",A942=""),"",AND(F942&gt;=INDEX([1]Contracts!$B:$B, MATCH(A942, [1]Contracts!$A:$A, 0)), F942&lt;=INDEX([1]Contracts!$C:$C, MATCH(A942, [1]Contracts!$A:$A, 0))))</f>
        <v/>
      </c>
    </row>
    <row r="943" spans="9:10">
      <c r="I943" s="3" t="str">
        <f t="shared" ca="1" si="15"/>
        <v/>
      </c>
      <c r="J943" s="3" t="str">
        <f>IF(OR(F943="",A943=""),"",AND(F943&gt;=INDEX([1]Contracts!$B:$B, MATCH(A943, [1]Contracts!$A:$A, 0)), F943&lt;=INDEX([1]Contracts!$C:$C, MATCH(A943, [1]Contracts!$A:$A, 0))))</f>
        <v/>
      </c>
    </row>
    <row r="944" spans="9:10">
      <c r="I944" s="3" t="str">
        <f t="shared" ca="1" si="15"/>
        <v/>
      </c>
      <c r="J944" s="3" t="str">
        <f>IF(OR(F944="",A944=""),"",AND(F944&gt;=INDEX([1]Contracts!$B:$B, MATCH(A944, [1]Contracts!$A:$A, 0)), F944&lt;=INDEX([1]Contracts!$C:$C, MATCH(A944, [1]Contracts!$A:$A, 0))))</f>
        <v/>
      </c>
    </row>
    <row r="945" spans="9:10">
      <c r="I945" s="3" t="str">
        <f t="shared" ca="1" si="15"/>
        <v/>
      </c>
      <c r="J945" s="3" t="str">
        <f>IF(OR(F945="",A945=""),"",AND(F945&gt;=INDEX([1]Contracts!$B:$B, MATCH(A945, [1]Contracts!$A:$A, 0)), F945&lt;=INDEX([1]Contracts!$C:$C, MATCH(A945, [1]Contracts!$A:$A, 0))))</f>
        <v/>
      </c>
    </row>
    <row r="946" spans="9:10">
      <c r="I946" s="3" t="str">
        <f t="shared" ca="1" si="15"/>
        <v/>
      </c>
      <c r="J946" s="3" t="str">
        <f>IF(OR(F946="",A946=""),"",AND(F946&gt;=INDEX([1]Contracts!$B:$B, MATCH(A946, [1]Contracts!$A:$A, 0)), F946&lt;=INDEX([1]Contracts!$C:$C, MATCH(A946, [1]Contracts!$A:$A, 0))))</f>
        <v/>
      </c>
    </row>
    <row r="947" spans="9:10">
      <c r="I947" s="3" t="str">
        <f t="shared" ca="1" si="15"/>
        <v/>
      </c>
      <c r="J947" s="3" t="str">
        <f>IF(OR(F947="",A947=""),"",AND(F947&gt;=INDEX([1]Contracts!$B:$B, MATCH(A947, [1]Contracts!$A:$A, 0)), F947&lt;=INDEX([1]Contracts!$C:$C, MATCH(A947, [1]Contracts!$A:$A, 0))))</f>
        <v/>
      </c>
    </row>
    <row r="948" spans="9:10">
      <c r="I948" s="3" t="str">
        <f t="shared" ca="1" si="15"/>
        <v/>
      </c>
      <c r="J948" s="3" t="str">
        <f>IF(OR(F948="",A948=""),"",AND(F948&gt;=INDEX([1]Contracts!$B:$B, MATCH(A948, [1]Contracts!$A:$A, 0)), F948&lt;=INDEX([1]Contracts!$C:$C, MATCH(A948, [1]Contracts!$A:$A, 0))))</f>
        <v/>
      </c>
    </row>
    <row r="949" spans="9:10">
      <c r="I949" s="3" t="str">
        <f t="shared" ca="1" si="15"/>
        <v/>
      </c>
      <c r="J949" s="3" t="str">
        <f>IF(OR(F949="",A949=""),"",AND(F949&gt;=INDEX([1]Contracts!$B:$B, MATCH(A949, [1]Contracts!$A:$A, 0)), F949&lt;=INDEX([1]Contracts!$C:$C, MATCH(A949, [1]Contracts!$A:$A, 0))))</f>
        <v/>
      </c>
    </row>
    <row r="950" spans="9:10">
      <c r="I950" s="3" t="str">
        <f t="shared" ca="1" si="15"/>
        <v/>
      </c>
      <c r="J950" s="3" t="str">
        <f>IF(OR(F950="",A950=""),"",AND(F950&gt;=INDEX([1]Contracts!$B:$B, MATCH(A950, [1]Contracts!$A:$A, 0)), F950&lt;=INDEX([1]Contracts!$C:$C, MATCH(A950, [1]Contracts!$A:$A, 0))))</f>
        <v/>
      </c>
    </row>
    <row r="951" spans="9:10">
      <c r="I951" s="3" t="str">
        <f t="shared" ca="1" si="15"/>
        <v/>
      </c>
      <c r="J951" s="3" t="str">
        <f>IF(OR(F951="",A951=""),"",AND(F951&gt;=INDEX([1]Contracts!$B:$B, MATCH(A951, [1]Contracts!$A:$A, 0)), F951&lt;=INDEX([1]Contracts!$C:$C, MATCH(A951, [1]Contracts!$A:$A, 0))))</f>
        <v/>
      </c>
    </row>
    <row r="952" spans="9:10">
      <c r="I952" s="3" t="str">
        <f t="shared" ca="1" si="15"/>
        <v/>
      </c>
      <c r="J952" s="3" t="str">
        <f>IF(OR(F952="",A952=""),"",AND(F952&gt;=INDEX([1]Contracts!$B:$B, MATCH(A952, [1]Contracts!$A:$A, 0)), F952&lt;=INDEX([1]Contracts!$C:$C, MATCH(A952, [1]Contracts!$A:$A, 0))))</f>
        <v/>
      </c>
    </row>
    <row r="953" spans="9:10">
      <c r="I953" s="3" t="str">
        <f t="shared" ca="1" si="15"/>
        <v/>
      </c>
      <c r="J953" s="3" t="str">
        <f>IF(OR(F953="",A953=""),"",AND(F953&gt;=INDEX([1]Contracts!$B:$B, MATCH(A953, [1]Contracts!$A:$A, 0)), F953&lt;=INDEX([1]Contracts!$C:$C, MATCH(A953, [1]Contracts!$A:$A, 0))))</f>
        <v/>
      </c>
    </row>
    <row r="954" spans="9:10">
      <c r="I954" s="3" t="str">
        <f t="shared" ca="1" si="15"/>
        <v/>
      </c>
      <c r="J954" s="3" t="str">
        <f>IF(OR(F954="",A954=""),"",AND(F954&gt;=INDEX([1]Contracts!$B:$B, MATCH(A954, [1]Contracts!$A:$A, 0)), F954&lt;=INDEX([1]Contracts!$C:$C, MATCH(A954, [1]Contracts!$A:$A, 0))))</f>
        <v/>
      </c>
    </row>
    <row r="955" spans="9:10">
      <c r="I955" s="3" t="str">
        <f t="shared" ca="1" si="15"/>
        <v/>
      </c>
      <c r="J955" s="3" t="str">
        <f>IF(OR(F955="",A955=""),"",AND(F955&gt;=INDEX([1]Contracts!$B:$B, MATCH(A955, [1]Contracts!$A:$A, 0)), F955&lt;=INDEX([1]Contracts!$C:$C, MATCH(A955, [1]Contracts!$A:$A, 0))))</f>
        <v/>
      </c>
    </row>
    <row r="956" spans="9:10">
      <c r="I956" s="3" t="str">
        <f t="shared" ca="1" si="15"/>
        <v/>
      </c>
      <c r="J956" s="3" t="str">
        <f>IF(OR(F956="",A956=""),"",AND(F956&gt;=INDEX([1]Contracts!$B:$B, MATCH(A956, [1]Contracts!$A:$A, 0)), F956&lt;=INDEX([1]Contracts!$C:$C, MATCH(A956, [1]Contracts!$A:$A, 0))))</f>
        <v/>
      </c>
    </row>
    <row r="957" spans="9:10">
      <c r="I957" s="3" t="str">
        <f t="shared" ca="1" si="15"/>
        <v/>
      </c>
      <c r="J957" s="3" t="str">
        <f>IF(OR(F957="",A957=""),"",AND(F957&gt;=INDEX([1]Contracts!$B:$B, MATCH(A957, [1]Contracts!$A:$A, 0)), F957&lt;=INDEX([1]Contracts!$C:$C, MATCH(A957, [1]Contracts!$A:$A, 0))))</f>
        <v/>
      </c>
    </row>
    <row r="958" spans="9:10">
      <c r="I958" s="3" t="str">
        <f t="shared" ca="1" si="15"/>
        <v/>
      </c>
      <c r="J958" s="3" t="str">
        <f>IF(OR(F958="",A958=""),"",AND(F958&gt;=INDEX([1]Contracts!$B:$B, MATCH(A958, [1]Contracts!$A:$A, 0)), F958&lt;=INDEX([1]Contracts!$C:$C, MATCH(A958, [1]Contracts!$A:$A, 0))))</f>
        <v/>
      </c>
    </row>
    <row r="959" spans="9:10">
      <c r="I959" s="3" t="str">
        <f t="shared" ca="1" si="15"/>
        <v/>
      </c>
      <c r="J959" s="3" t="str">
        <f>IF(OR(F959="",A959=""),"",AND(F959&gt;=INDEX([1]Contracts!$B:$B, MATCH(A959, [1]Contracts!$A:$A, 0)), F959&lt;=INDEX([1]Contracts!$C:$C, MATCH(A959, [1]Contracts!$A:$A, 0))))</f>
        <v/>
      </c>
    </row>
    <row r="960" spans="9:10">
      <c r="I960" s="3" t="str">
        <f t="shared" ca="1" si="15"/>
        <v/>
      </c>
      <c r="J960" s="3" t="str">
        <f>IF(OR(F960="",A960=""),"",AND(F960&gt;=INDEX([1]Contracts!$B:$B, MATCH(A960, [1]Contracts!$A:$A, 0)), F960&lt;=INDEX([1]Contracts!$C:$C, MATCH(A960, [1]Contracts!$A:$A, 0))))</f>
        <v/>
      </c>
    </row>
    <row r="961" spans="9:10">
      <c r="I961" s="3" t="str">
        <f t="shared" ca="1" si="15"/>
        <v/>
      </c>
      <c r="J961" s="3" t="str">
        <f>IF(OR(F961="",A961=""),"",AND(F961&gt;=INDEX([1]Contracts!$B:$B, MATCH(A961, [1]Contracts!$A:$A, 0)), F961&lt;=INDEX([1]Contracts!$C:$C, MATCH(A961, [1]Contracts!$A:$A, 0))))</f>
        <v/>
      </c>
    </row>
    <row r="962" spans="9:10">
      <c r="I962" s="3" t="str">
        <f t="shared" ca="1" si="15"/>
        <v/>
      </c>
      <c r="J962" s="3" t="str">
        <f>IF(OR(F962="",A962=""),"",AND(F962&gt;=INDEX([1]Contracts!$B:$B, MATCH(A962, [1]Contracts!$A:$A, 0)), F962&lt;=INDEX([1]Contracts!$C:$C, MATCH(A962, [1]Contracts!$A:$A, 0))))</f>
        <v/>
      </c>
    </row>
    <row r="963" spans="9:10">
      <c r="I963" s="3" t="str">
        <f t="shared" ca="1" si="15"/>
        <v/>
      </c>
      <c r="J963" s="3" t="str">
        <f>IF(OR(F963="",A963=""),"",AND(F963&gt;=INDEX([1]Contracts!$B:$B, MATCH(A963, [1]Contracts!$A:$A, 0)), F963&lt;=INDEX([1]Contracts!$C:$C, MATCH(A963, [1]Contracts!$A:$A, 0))))</f>
        <v/>
      </c>
    </row>
    <row r="964" spans="9:10">
      <c r="I964" s="3" t="str">
        <f t="shared" ca="1" si="15"/>
        <v/>
      </c>
      <c r="J964" s="3" t="str">
        <f>IF(OR(F964="",A964=""),"",AND(F964&gt;=INDEX([1]Contracts!$B:$B, MATCH(A964, [1]Contracts!$A:$A, 0)), F964&lt;=INDEX([1]Contracts!$C:$C, MATCH(A964, [1]Contracts!$A:$A, 0))))</f>
        <v/>
      </c>
    </row>
    <row r="965" spans="9:10">
      <c r="I965" s="3" t="str">
        <f t="shared" ca="1" si="15"/>
        <v/>
      </c>
      <c r="J965" s="3" t="str">
        <f>IF(OR(F965="",A965=""),"",AND(F965&gt;=INDEX([1]Contracts!$B:$B, MATCH(A965, [1]Contracts!$A:$A, 0)), F965&lt;=INDEX([1]Contracts!$C:$C, MATCH(A965, [1]Contracts!$A:$A, 0))))</f>
        <v/>
      </c>
    </row>
    <row r="966" spans="9:10">
      <c r="I966" s="3" t="str">
        <f t="shared" ca="1" si="15"/>
        <v/>
      </c>
      <c r="J966" s="3" t="str">
        <f>IF(OR(F966="",A966=""),"",AND(F966&gt;=INDEX([1]Contracts!$B:$B, MATCH(A966, [1]Contracts!$A:$A, 0)), F966&lt;=INDEX([1]Contracts!$C:$C, MATCH(A966, [1]Contracts!$A:$A, 0))))</f>
        <v/>
      </c>
    </row>
    <row r="967" spans="9:10">
      <c r="I967" s="3" t="str">
        <f t="shared" ca="1" si="15"/>
        <v/>
      </c>
      <c r="J967" s="3" t="str">
        <f>IF(OR(F967="",A967=""),"",AND(F967&gt;=INDEX([1]Contracts!$B:$B, MATCH(A967, [1]Contracts!$A:$A, 0)), F967&lt;=INDEX([1]Contracts!$C:$C, MATCH(A967, [1]Contracts!$A:$A, 0))))</f>
        <v/>
      </c>
    </row>
    <row r="968" spans="9:10">
      <c r="I968" s="3" t="str">
        <f t="shared" ref="I968:I1007" ca="1" si="16">IF(F968="","",F968-TODAY())</f>
        <v/>
      </c>
      <c r="J968" s="3" t="str">
        <f>IF(OR(F968="",A968=""),"",AND(F968&gt;=INDEX([1]Contracts!$B:$B, MATCH(A968, [1]Contracts!$A:$A, 0)), F968&lt;=INDEX([1]Contracts!$C:$C, MATCH(A968, [1]Contracts!$A:$A, 0))))</f>
        <v/>
      </c>
    </row>
    <row r="969" spans="9:10">
      <c r="I969" s="3" t="str">
        <f t="shared" ca="1" si="16"/>
        <v/>
      </c>
      <c r="J969" s="3" t="str">
        <f>IF(OR(F969="",A969=""),"",AND(F969&gt;=INDEX([1]Contracts!$B:$B, MATCH(A969, [1]Contracts!$A:$A, 0)), F969&lt;=INDEX([1]Contracts!$C:$C, MATCH(A969, [1]Contracts!$A:$A, 0))))</f>
        <v/>
      </c>
    </row>
    <row r="970" spans="9:10">
      <c r="I970" s="3" t="str">
        <f t="shared" ca="1" si="16"/>
        <v/>
      </c>
      <c r="J970" s="3" t="str">
        <f>IF(OR(F970="",A970=""),"",AND(F970&gt;=INDEX([1]Contracts!$B:$B, MATCH(A970, [1]Contracts!$A:$A, 0)), F970&lt;=INDEX([1]Contracts!$C:$C, MATCH(A970, [1]Contracts!$A:$A, 0))))</f>
        <v/>
      </c>
    </row>
    <row r="971" spans="9:10">
      <c r="I971" s="3" t="str">
        <f t="shared" ca="1" si="16"/>
        <v/>
      </c>
      <c r="J971" s="3" t="str">
        <f>IF(OR(F971="",A971=""),"",AND(F971&gt;=INDEX([1]Contracts!$B:$B, MATCH(A971, [1]Contracts!$A:$A, 0)), F971&lt;=INDEX([1]Contracts!$C:$C, MATCH(A971, [1]Contracts!$A:$A, 0))))</f>
        <v/>
      </c>
    </row>
    <row r="972" spans="9:10">
      <c r="I972" s="3" t="str">
        <f t="shared" ca="1" si="16"/>
        <v/>
      </c>
      <c r="J972" s="3" t="str">
        <f>IF(OR(F972="",A972=""),"",AND(F972&gt;=INDEX([1]Contracts!$B:$B, MATCH(A972, [1]Contracts!$A:$A, 0)), F972&lt;=INDEX([1]Contracts!$C:$C, MATCH(A972, [1]Contracts!$A:$A, 0))))</f>
        <v/>
      </c>
    </row>
    <row r="973" spans="9:10">
      <c r="I973" s="3" t="str">
        <f t="shared" ca="1" si="16"/>
        <v/>
      </c>
      <c r="J973" s="3" t="str">
        <f>IF(OR(F973="",A973=""),"",AND(F973&gt;=INDEX([1]Contracts!$B:$B, MATCH(A973, [1]Contracts!$A:$A, 0)), F973&lt;=INDEX([1]Contracts!$C:$C, MATCH(A973, [1]Contracts!$A:$A, 0))))</f>
        <v/>
      </c>
    </row>
    <row r="974" spans="9:10">
      <c r="I974" s="3" t="str">
        <f t="shared" ca="1" si="16"/>
        <v/>
      </c>
      <c r="J974" s="3" t="str">
        <f>IF(OR(F974="",A974=""),"",AND(F974&gt;=INDEX([1]Contracts!$B:$B, MATCH(A974, [1]Contracts!$A:$A, 0)), F974&lt;=INDEX([1]Contracts!$C:$C, MATCH(A974, [1]Contracts!$A:$A, 0))))</f>
        <v/>
      </c>
    </row>
    <row r="975" spans="9:10">
      <c r="I975" s="3" t="str">
        <f t="shared" ca="1" si="16"/>
        <v/>
      </c>
      <c r="J975" s="3" t="str">
        <f>IF(OR(F975="",A975=""),"",AND(F975&gt;=INDEX([1]Contracts!$B:$B, MATCH(A975, [1]Contracts!$A:$A, 0)), F975&lt;=INDEX([1]Contracts!$C:$C, MATCH(A975, [1]Contracts!$A:$A, 0))))</f>
        <v/>
      </c>
    </row>
    <row r="976" spans="9:10">
      <c r="I976" s="3" t="str">
        <f t="shared" ca="1" si="16"/>
        <v/>
      </c>
      <c r="J976" s="3" t="str">
        <f>IF(OR(F976="",A976=""),"",AND(F976&gt;=INDEX([1]Contracts!$B:$B, MATCH(A976, [1]Contracts!$A:$A, 0)), F976&lt;=INDEX([1]Contracts!$C:$C, MATCH(A976, [1]Contracts!$A:$A, 0))))</f>
        <v/>
      </c>
    </row>
    <row r="977" spans="9:10">
      <c r="I977" s="3" t="str">
        <f t="shared" ca="1" si="16"/>
        <v/>
      </c>
      <c r="J977" s="3" t="str">
        <f>IF(OR(F977="",A977=""),"",AND(F977&gt;=INDEX([1]Contracts!$B:$B, MATCH(A977, [1]Contracts!$A:$A, 0)), F977&lt;=INDEX([1]Contracts!$C:$C, MATCH(A977, [1]Contracts!$A:$A, 0))))</f>
        <v/>
      </c>
    </row>
    <row r="978" spans="9:10">
      <c r="I978" s="3" t="str">
        <f t="shared" ca="1" si="16"/>
        <v/>
      </c>
      <c r="J978" s="3" t="str">
        <f>IF(OR(F978="",A978=""),"",AND(F978&gt;=INDEX([1]Contracts!$B:$B, MATCH(A978, [1]Contracts!$A:$A, 0)), F978&lt;=INDEX([1]Contracts!$C:$C, MATCH(A978, [1]Contracts!$A:$A, 0))))</f>
        <v/>
      </c>
    </row>
    <row r="979" spans="9:10">
      <c r="I979" s="3" t="str">
        <f t="shared" ca="1" si="16"/>
        <v/>
      </c>
      <c r="J979" s="3" t="str">
        <f>IF(OR(F979="",A979=""),"",AND(F979&gt;=INDEX([1]Contracts!$B:$B, MATCH(A979, [1]Contracts!$A:$A, 0)), F979&lt;=INDEX([1]Contracts!$C:$C, MATCH(A979, [1]Contracts!$A:$A, 0))))</f>
        <v/>
      </c>
    </row>
    <row r="980" spans="9:10">
      <c r="I980" s="3" t="str">
        <f t="shared" ca="1" si="16"/>
        <v/>
      </c>
      <c r="J980" s="3" t="str">
        <f>IF(OR(F980="",A980=""),"",AND(F980&gt;=INDEX([1]Contracts!$B:$B, MATCH(A980, [1]Contracts!$A:$A, 0)), F980&lt;=INDEX([1]Contracts!$C:$C, MATCH(A980, [1]Contracts!$A:$A, 0))))</f>
        <v/>
      </c>
    </row>
    <row r="981" spans="9:10">
      <c r="I981" s="3" t="str">
        <f t="shared" ca="1" si="16"/>
        <v/>
      </c>
      <c r="J981" s="3" t="str">
        <f>IF(OR(F981="",A981=""),"",AND(F981&gt;=INDEX([1]Contracts!$B:$B, MATCH(A981, [1]Contracts!$A:$A, 0)), F981&lt;=INDEX([1]Contracts!$C:$C, MATCH(A981, [1]Contracts!$A:$A, 0))))</f>
        <v/>
      </c>
    </row>
    <row r="982" spans="9:10">
      <c r="I982" s="3" t="str">
        <f t="shared" ca="1" si="16"/>
        <v/>
      </c>
      <c r="J982" s="3" t="str">
        <f>IF(OR(F982="",A982=""),"",AND(F982&gt;=INDEX([1]Contracts!$B:$B, MATCH(A982, [1]Contracts!$A:$A, 0)), F982&lt;=INDEX([1]Contracts!$C:$C, MATCH(A982, [1]Contracts!$A:$A, 0))))</f>
        <v/>
      </c>
    </row>
    <row r="983" spans="9:10">
      <c r="I983" s="3" t="str">
        <f t="shared" ca="1" si="16"/>
        <v/>
      </c>
      <c r="J983" s="3" t="str">
        <f>IF(OR(F983="",A983=""),"",AND(F983&gt;=INDEX([1]Contracts!$B:$B, MATCH(A983, [1]Contracts!$A:$A, 0)), F983&lt;=INDEX([1]Contracts!$C:$C, MATCH(A983, [1]Contracts!$A:$A, 0))))</f>
        <v/>
      </c>
    </row>
    <row r="984" spans="9:10">
      <c r="I984" s="3" t="str">
        <f t="shared" ca="1" si="16"/>
        <v/>
      </c>
      <c r="J984" s="3" t="str">
        <f>IF(OR(F984="",A984=""),"",AND(F984&gt;=INDEX([1]Contracts!$B:$B, MATCH(A984, [1]Contracts!$A:$A, 0)), F984&lt;=INDEX([1]Contracts!$C:$C, MATCH(A984, [1]Contracts!$A:$A, 0))))</f>
        <v/>
      </c>
    </row>
    <row r="985" spans="9:10">
      <c r="I985" s="3" t="str">
        <f t="shared" ca="1" si="16"/>
        <v/>
      </c>
      <c r="J985" s="3" t="str">
        <f>IF(OR(F985="",A985=""),"",AND(F985&gt;=INDEX([1]Contracts!$B:$B, MATCH(A985, [1]Contracts!$A:$A, 0)), F985&lt;=INDEX([1]Contracts!$C:$C, MATCH(A985, [1]Contracts!$A:$A, 0))))</f>
        <v/>
      </c>
    </row>
    <row r="986" spans="9:10">
      <c r="I986" s="3" t="str">
        <f t="shared" ca="1" si="16"/>
        <v/>
      </c>
      <c r="J986" s="3" t="str">
        <f>IF(OR(F986="",A986=""),"",AND(F986&gt;=INDEX([1]Contracts!$B:$B, MATCH(A986, [1]Contracts!$A:$A, 0)), F986&lt;=INDEX([1]Contracts!$C:$C, MATCH(A986, [1]Contracts!$A:$A, 0))))</f>
        <v/>
      </c>
    </row>
    <row r="987" spans="9:10">
      <c r="I987" s="3" t="str">
        <f t="shared" ca="1" si="16"/>
        <v/>
      </c>
      <c r="J987" s="3" t="str">
        <f>IF(OR(F987="",A987=""),"",AND(F987&gt;=INDEX([1]Contracts!$B:$B, MATCH(A987, [1]Contracts!$A:$A, 0)), F987&lt;=INDEX([1]Contracts!$C:$C, MATCH(A987, [1]Contracts!$A:$A, 0))))</f>
        <v/>
      </c>
    </row>
    <row r="988" spans="9:10">
      <c r="I988" s="3" t="str">
        <f t="shared" ca="1" si="16"/>
        <v/>
      </c>
      <c r="J988" s="3" t="str">
        <f>IF(OR(F988="",A988=""),"",AND(F988&gt;=INDEX([1]Contracts!$B:$B, MATCH(A988, [1]Contracts!$A:$A, 0)), F988&lt;=INDEX([1]Contracts!$C:$C, MATCH(A988, [1]Contracts!$A:$A, 0))))</f>
        <v/>
      </c>
    </row>
    <row r="989" spans="9:10">
      <c r="I989" s="3" t="str">
        <f t="shared" ca="1" si="16"/>
        <v/>
      </c>
      <c r="J989" s="3" t="str">
        <f>IF(OR(F989="",A989=""),"",AND(F989&gt;=INDEX([1]Contracts!$B:$B, MATCH(A989, [1]Contracts!$A:$A, 0)), F989&lt;=INDEX([1]Contracts!$C:$C, MATCH(A989, [1]Contracts!$A:$A, 0))))</f>
        <v/>
      </c>
    </row>
    <row r="990" spans="9:10">
      <c r="I990" s="3" t="str">
        <f t="shared" ca="1" si="16"/>
        <v/>
      </c>
      <c r="J990" s="3" t="str">
        <f>IF(OR(F990="",A990=""),"",AND(F990&gt;=INDEX([1]Contracts!$B:$B, MATCH(A990, [1]Contracts!$A:$A, 0)), F990&lt;=INDEX([1]Contracts!$C:$C, MATCH(A990, [1]Contracts!$A:$A, 0))))</f>
        <v/>
      </c>
    </row>
    <row r="991" spans="9:10">
      <c r="I991" s="3" t="str">
        <f t="shared" ca="1" si="16"/>
        <v/>
      </c>
      <c r="J991" s="3" t="str">
        <f>IF(OR(F991="",A991=""),"",AND(F991&gt;=INDEX([1]Contracts!$B:$B, MATCH(A991, [1]Contracts!$A:$A, 0)), F991&lt;=INDEX([1]Contracts!$C:$C, MATCH(A991, [1]Contracts!$A:$A, 0))))</f>
        <v/>
      </c>
    </row>
    <row r="992" spans="9:10">
      <c r="I992" s="3" t="str">
        <f t="shared" ca="1" si="16"/>
        <v/>
      </c>
      <c r="J992" s="3" t="str">
        <f>IF(OR(F992="",A992=""),"",AND(F992&gt;=INDEX([1]Contracts!$B:$B, MATCH(A992, [1]Contracts!$A:$A, 0)), F992&lt;=INDEX([1]Contracts!$C:$C, MATCH(A992, [1]Contracts!$A:$A, 0))))</f>
        <v/>
      </c>
    </row>
    <row r="993" spans="9:10">
      <c r="I993" s="3" t="str">
        <f t="shared" ca="1" si="16"/>
        <v/>
      </c>
      <c r="J993" s="3" t="str">
        <f>IF(OR(F993="",A993=""),"",AND(F993&gt;=INDEX([1]Contracts!$B:$B, MATCH(A993, [1]Contracts!$A:$A, 0)), F993&lt;=INDEX([1]Contracts!$C:$C, MATCH(A993, [1]Contracts!$A:$A, 0))))</f>
        <v/>
      </c>
    </row>
    <row r="994" spans="9:10">
      <c r="I994" s="3" t="str">
        <f t="shared" ca="1" si="16"/>
        <v/>
      </c>
      <c r="J994" s="3" t="str">
        <f>IF(OR(F994="",A994=""),"",AND(F994&gt;=INDEX([1]Contracts!$B:$B, MATCH(A994, [1]Contracts!$A:$A, 0)), F994&lt;=INDEX([1]Contracts!$C:$C, MATCH(A994, [1]Contracts!$A:$A, 0))))</f>
        <v/>
      </c>
    </row>
    <row r="995" spans="9:10">
      <c r="I995" s="3" t="str">
        <f t="shared" ca="1" si="16"/>
        <v/>
      </c>
      <c r="J995" s="3" t="str">
        <f>IF(OR(F995="",A995=""),"",AND(F995&gt;=INDEX([1]Contracts!$B:$B, MATCH(A995, [1]Contracts!$A:$A, 0)), F995&lt;=INDEX([1]Contracts!$C:$C, MATCH(A995, [1]Contracts!$A:$A, 0))))</f>
        <v/>
      </c>
    </row>
    <row r="996" spans="9:10">
      <c r="I996" s="3" t="str">
        <f t="shared" ca="1" si="16"/>
        <v/>
      </c>
      <c r="J996" s="3" t="str">
        <f>IF(OR(F996="",A996=""),"",AND(F996&gt;=INDEX([1]Contracts!$B:$B, MATCH(A996, [1]Contracts!$A:$A, 0)), F996&lt;=INDEX([1]Contracts!$C:$C, MATCH(A996, [1]Contracts!$A:$A, 0))))</f>
        <v/>
      </c>
    </row>
    <row r="997" spans="9:10">
      <c r="I997" s="3" t="str">
        <f t="shared" ca="1" si="16"/>
        <v/>
      </c>
      <c r="J997" s="3" t="str">
        <f>IF(OR(F997="",A997=""),"",AND(F997&gt;=INDEX([1]Contracts!$B:$B, MATCH(A997, [1]Contracts!$A:$A, 0)), F997&lt;=INDEX([1]Contracts!$C:$C, MATCH(A997, [1]Contracts!$A:$A, 0))))</f>
        <v/>
      </c>
    </row>
    <row r="998" spans="9:10">
      <c r="I998" s="3" t="str">
        <f t="shared" ca="1" si="16"/>
        <v/>
      </c>
      <c r="J998" s="3" t="str">
        <f>IF(OR(F998="",A998=""),"",AND(F998&gt;=INDEX([1]Contracts!$B:$B, MATCH(A998, [1]Contracts!$A:$A, 0)), F998&lt;=INDEX([1]Contracts!$C:$C, MATCH(A998, [1]Contracts!$A:$A, 0))))</f>
        <v/>
      </c>
    </row>
    <row r="999" spans="9:10">
      <c r="I999" s="3" t="str">
        <f t="shared" ca="1" si="16"/>
        <v/>
      </c>
      <c r="J999" s="3" t="str">
        <f>IF(OR(F999="",A999=""),"",AND(F999&gt;=INDEX([1]Contracts!$B:$B, MATCH(A999, [1]Contracts!$A:$A, 0)), F999&lt;=INDEX([1]Contracts!$C:$C, MATCH(A999, [1]Contracts!$A:$A, 0))))</f>
        <v/>
      </c>
    </row>
    <row r="1000" spans="9:10">
      <c r="I1000" s="3" t="str">
        <f t="shared" ca="1" si="16"/>
        <v/>
      </c>
      <c r="J1000" s="3" t="str">
        <f>IF(OR(F1000="",A1000=""),"",AND(F1000&gt;=INDEX([1]Contracts!$B:$B, MATCH(A1000, [1]Contracts!$A:$A, 0)), F1000&lt;=INDEX([1]Contracts!$C:$C, MATCH(A1000, [1]Contracts!$A:$A, 0))))</f>
        <v/>
      </c>
    </row>
    <row r="1001" spans="9:10">
      <c r="I1001" s="3" t="str">
        <f t="shared" ca="1" si="16"/>
        <v/>
      </c>
      <c r="J1001" s="3" t="str">
        <f>IF(OR(F1001="",A1001=""),"",AND(F1001&gt;=INDEX([1]Contracts!$B:$B, MATCH(A1001, [1]Contracts!$A:$A, 0)), F1001&lt;=INDEX([1]Contracts!$C:$C, MATCH(A1001, [1]Contracts!$A:$A, 0))))</f>
        <v/>
      </c>
    </row>
    <row r="1002" spans="9:10">
      <c r="I1002" s="3" t="str">
        <f t="shared" ca="1" si="16"/>
        <v/>
      </c>
      <c r="J1002" s="3" t="str">
        <f>IF(OR(F1002="",A1002=""),"",AND(F1002&gt;=INDEX([1]Contracts!$B:$B, MATCH(A1002, [1]Contracts!$A:$A, 0)), F1002&lt;=INDEX([1]Contracts!$C:$C, MATCH(A1002, [1]Contracts!$A:$A, 0))))</f>
        <v/>
      </c>
    </row>
    <row r="1003" spans="9:10">
      <c r="I1003" s="3" t="str">
        <f t="shared" ca="1" si="16"/>
        <v/>
      </c>
      <c r="J1003" s="3" t="str">
        <f>IF(OR(F1003="",A1003=""),"",AND(F1003&gt;=INDEX([1]Contracts!$B:$B, MATCH(A1003, [1]Contracts!$A:$A, 0)), F1003&lt;=INDEX([1]Contracts!$C:$C, MATCH(A1003, [1]Contracts!$A:$A, 0))))</f>
        <v/>
      </c>
    </row>
    <row r="1004" spans="9:10">
      <c r="I1004" s="3" t="str">
        <f t="shared" ca="1" si="16"/>
        <v/>
      </c>
      <c r="J1004" s="3" t="str">
        <f>IF(OR(F1004="",A1004=""),"",AND(F1004&gt;=INDEX([1]Contracts!$B:$B, MATCH(A1004, [1]Contracts!$A:$A, 0)), F1004&lt;=INDEX([1]Contracts!$C:$C, MATCH(A1004, [1]Contracts!$A:$A, 0))))</f>
        <v/>
      </c>
    </row>
    <row r="1005" spans="9:10">
      <c r="I1005" s="3" t="str">
        <f t="shared" ca="1" si="16"/>
        <v/>
      </c>
      <c r="J1005" s="3" t="str">
        <f>IF(OR(F1005="",A1005=""),"",AND(F1005&gt;=INDEX([1]Contracts!$B:$B, MATCH(A1005, [1]Contracts!$A:$A, 0)), F1005&lt;=INDEX([1]Contracts!$C:$C, MATCH(A1005, [1]Contracts!$A:$A, 0))))</f>
        <v/>
      </c>
    </row>
    <row r="1006" spans="9:10">
      <c r="I1006" s="3" t="str">
        <f t="shared" ca="1" si="16"/>
        <v/>
      </c>
      <c r="J1006" s="3" t="str">
        <f>IF(OR(F1006="",A1006=""),"",AND(F1006&gt;=INDEX([1]Contracts!$B:$B, MATCH(A1006, [1]Contracts!$A:$A, 0)), F1006&lt;=INDEX([1]Contracts!$C:$C, MATCH(A1006, [1]Contracts!$A:$A, 0))))</f>
        <v/>
      </c>
    </row>
    <row r="1007" spans="9:10">
      <c r="I1007" s="3" t="str">
        <f t="shared" ca="1" si="16"/>
        <v/>
      </c>
      <c r="J1007" s="3" t="str">
        <f>IF(OR(F1007="",A1007=""),"",AND(F1007&gt;=INDEX([1]Contracts!$B:$B, MATCH(A1007, [1]Contracts!$A:$A, 0)), F1007&lt;=INDEX([1]Contracts!$C:$C, MATCH(A1007, [1]Contracts!$A:$A, 0))))</f>
        <v/>
      </c>
    </row>
  </sheetData>
  <phoneticPr fontId="18" type="noConversion"/>
  <dataValidations count="1">
    <dataValidation type="list" allowBlank="1" showInputMessage="1" showErrorMessage="1" sqref="G2:G1006" xr:uid="{4528177C-FCC1-4323-BC09-358ECEBAE073}">
      <formula1>"Planned,Reminded,Done"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CBA7-34AC-46BF-A052-3EC3617E0E81}">
  <dimension ref="A1:I138"/>
  <sheetViews>
    <sheetView workbookViewId="0"/>
  </sheetViews>
  <sheetFormatPr baseColWidth="10" defaultColWidth="8.83203125" defaultRowHeight="17"/>
  <cols>
    <col min="1" max="1" width="28.83203125" style="2" bestFit="1" customWidth="1"/>
    <col min="2" max="9" width="16" style="2" customWidth="1"/>
  </cols>
  <sheetData>
    <row r="1" spans="1:9" s="1" customFormat="1" ht="18" customHeight="1">
      <c r="A1" s="6" t="s">
        <v>1</v>
      </c>
      <c r="B1" s="6" t="s">
        <v>0</v>
      </c>
      <c r="C1" s="6" t="s">
        <v>2</v>
      </c>
      <c r="D1" s="6" t="s">
        <v>3</v>
      </c>
      <c r="E1" s="6" t="s">
        <v>91</v>
      </c>
      <c r="F1" s="6" t="s">
        <v>92</v>
      </c>
      <c r="G1" s="6" t="s">
        <v>93</v>
      </c>
      <c r="H1" s="6" t="s">
        <v>57</v>
      </c>
      <c r="I1" s="6" t="s">
        <v>141</v>
      </c>
    </row>
    <row r="2" spans="1:9" ht="18" customHeight="1">
      <c r="A2" s="8" t="s">
        <v>7</v>
      </c>
      <c r="B2" s="8">
        <f>VLOOKUP($A2,contracts!$A$2:$L$100,2,0)</f>
        <v>101001</v>
      </c>
      <c r="C2" s="8" t="str">
        <f>VLOOKUP($A2,contracts!$A$2:$L$100,3,0)</f>
        <v>Europe</v>
      </c>
      <c r="D2" s="8" t="str">
        <f>VLOOKUP($A2,contracts!$A$2:$L$100,4,0)</f>
        <v>UK</v>
      </c>
      <c r="E2" s="8" t="str" cm="1">
        <f t="array" ref="E2">_xlfn.IFS(ISBLANK(F2), "", OR(F2="Jan", F2="Feb", F2="Mar"), "Q1", OR(F2="April", F2="May", F2="June"), "Q2", OR(F2="July", F2="August", F2="September"), "Q3", OR(F2="October", F2="November", F2="December"), "Q4", TRUE, "")</f>
        <v>Q2</v>
      </c>
      <c r="F2" s="8" t="s">
        <v>101</v>
      </c>
      <c r="G2" s="8" t="s">
        <v>94</v>
      </c>
      <c r="H2" s="8" t="s">
        <v>99</v>
      </c>
      <c r="I2" s="8"/>
    </row>
    <row r="3" spans="1:9" ht="18" customHeight="1">
      <c r="A3" s="11" t="s">
        <v>7</v>
      </c>
      <c r="B3" s="11">
        <f>VLOOKUP($A3,contracts!$A$2:$L$100,2,0)</f>
        <v>101001</v>
      </c>
      <c r="C3" s="11" t="str">
        <f>VLOOKUP($A3,contracts!$A$2:$L$100,3,0)</f>
        <v>Europe</v>
      </c>
      <c r="D3" s="11" t="str">
        <f>VLOOKUP($A3,contracts!$A$2:$L$100,4,0)</f>
        <v>UK</v>
      </c>
      <c r="E3" s="11" t="str" cm="1">
        <f t="array" ref="E3">_xlfn.IFS(ISBLANK(F3), "", OR(F3="Jan", F3="Feb", F3="Mar"), "Q1", OR(F3="April", F3="May", F3="June"), "Q2", OR(F3="July", F3="August", F3="September"), "Q3", OR(F3="October", F3="November", F3="December"), "Q4", TRUE, "")</f>
        <v>Q2</v>
      </c>
      <c r="F3" s="11" t="s">
        <v>107</v>
      </c>
      <c r="G3" s="11" t="s">
        <v>95</v>
      </c>
      <c r="H3" s="11" t="s">
        <v>70</v>
      </c>
      <c r="I3" s="11"/>
    </row>
    <row r="4" spans="1:9" ht="18" customHeight="1">
      <c r="A4" s="11" t="s">
        <v>7</v>
      </c>
      <c r="B4" s="11">
        <f>VLOOKUP($A4,contracts!$A$2:$L$100,2,0)</f>
        <v>101001</v>
      </c>
      <c r="C4" s="11" t="str">
        <f>VLOOKUP($A4,contracts!$A$2:$L$100,3,0)</f>
        <v>Europe</v>
      </c>
      <c r="D4" s="11" t="str">
        <f>VLOOKUP($A4,contracts!$A$2:$L$100,4,0)</f>
        <v>UK</v>
      </c>
      <c r="E4" s="11" t="str" cm="1">
        <f t="array" ref="E4">_xlfn.IFS(ISBLANK(F4), "", OR(F4="Jan", F4="Feb", F4="Mar"), "Q1", OR(F4="April", F4="May", F4="June"), "Q2", OR(F4="July", F4="August", F4="September"), "Q3", OR(F4="October", F4="November", F4="December"), "Q4", TRUE, "")</f>
        <v>Q3</v>
      </c>
      <c r="F4" s="11" t="s">
        <v>110</v>
      </c>
      <c r="G4" s="11" t="s">
        <v>98</v>
      </c>
      <c r="H4" s="11" t="s">
        <v>111</v>
      </c>
      <c r="I4" s="11"/>
    </row>
    <row r="5" spans="1:9" ht="18" customHeight="1">
      <c r="A5" s="11" t="s">
        <v>7</v>
      </c>
      <c r="B5" s="11">
        <f>VLOOKUP($A5,contracts!$A$2:$L$100,2,0)</f>
        <v>101001</v>
      </c>
      <c r="C5" s="11" t="str">
        <f>VLOOKUP($A5,contracts!$A$2:$L$100,3,0)</f>
        <v>Europe</v>
      </c>
      <c r="D5" s="11" t="str">
        <f>VLOOKUP($A5,contracts!$A$2:$L$100,4,0)</f>
        <v>UK</v>
      </c>
      <c r="E5" s="11" t="str" cm="1">
        <f t="array" ref="E5">_xlfn.IFS(ISBLANK(F5), "", OR(F5="Jan", F5="Feb", F5="Mar"), "Q1", OR(F5="April", F5="May", F5="June"), "Q2", OR(F5="July", F5="August", F5="September"), "Q3", OR(F5="October", F5="November", F5="December"), "Q4", TRUE, "")</f>
        <v>Q3</v>
      </c>
      <c r="F5" s="11" t="s">
        <v>113</v>
      </c>
      <c r="G5" s="11" t="s">
        <v>100</v>
      </c>
      <c r="H5" s="11" t="s">
        <v>112</v>
      </c>
      <c r="I5" s="11"/>
    </row>
    <row r="6" spans="1:9" ht="18" customHeight="1">
      <c r="A6" s="11" t="s">
        <v>7</v>
      </c>
      <c r="B6" s="11">
        <f>VLOOKUP($A6,contracts!$A$2:$L$100,2,0)</f>
        <v>101001</v>
      </c>
      <c r="C6" s="11" t="str">
        <f>VLOOKUP($A6,contracts!$A$2:$L$100,3,0)</f>
        <v>Europe</v>
      </c>
      <c r="D6" s="11" t="str">
        <f>VLOOKUP($A6,contracts!$A$2:$L$100,4,0)</f>
        <v>UK</v>
      </c>
      <c r="E6" s="11" t="str" cm="1">
        <f t="array" ref="E6">_xlfn.IFS(ISBLANK(F6), "", OR(F6="Jan", F6="Feb", F6="Mar"), "Q1", OR(F6="April", F6="May", F6="June"), "Q2", OR(F6="July", F6="August", F6="September"), "Q3", OR(F6="October", F6="November", F6="December"), "Q4", TRUE, "")</f>
        <v>Q3</v>
      </c>
      <c r="F6" s="11" t="s">
        <v>115</v>
      </c>
      <c r="G6" s="11" t="s">
        <v>95</v>
      </c>
      <c r="H6" s="11" t="s">
        <v>118</v>
      </c>
      <c r="I6" s="11"/>
    </row>
    <row r="7" spans="1:9" ht="18" customHeight="1">
      <c r="A7" s="11" t="s">
        <v>7</v>
      </c>
      <c r="B7" s="11">
        <f>VLOOKUP($A7,contracts!$A$2:$L$100,2,0)</f>
        <v>101001</v>
      </c>
      <c r="C7" s="11" t="str">
        <f>VLOOKUP($A7,contracts!$A$2:$L$100,3,0)</f>
        <v>Europe</v>
      </c>
      <c r="D7" s="11" t="str">
        <f>VLOOKUP($A7,contracts!$A$2:$L$100,4,0)</f>
        <v>UK</v>
      </c>
      <c r="E7" s="11" t="str" cm="1">
        <f t="array" ref="E7">_xlfn.IFS(ISBLANK(F7), "", OR(F7="Jan", F7="Feb", F7="Mar"), "Q1", OR(F7="April", F7="May", F7="June"), "Q2", OR(F7="July", F7="August", F7="September"), "Q3", OR(F7="October", F7="November", F7="December"), "Q4", TRUE, "")</f>
        <v>Q4</v>
      </c>
      <c r="F7" s="11" t="s">
        <v>121</v>
      </c>
      <c r="G7" s="11" t="s">
        <v>100</v>
      </c>
      <c r="H7" s="11" t="s">
        <v>70</v>
      </c>
      <c r="I7" s="11"/>
    </row>
    <row r="8" spans="1:9" ht="18" customHeight="1">
      <c r="A8" s="11" t="s">
        <v>10</v>
      </c>
      <c r="B8" s="11">
        <f>VLOOKUP($A8,contracts!$A$2:$L$100,2,0)</f>
        <v>102001</v>
      </c>
      <c r="C8" s="11" t="str">
        <f>VLOOKUP($A8,contracts!$A$2:$L$100,3,0)</f>
        <v>Europe</v>
      </c>
      <c r="D8" s="11" t="str">
        <f>VLOOKUP($A8,contracts!$A$2:$L$100,4,0)</f>
        <v>Sweden</v>
      </c>
      <c r="E8" s="11" t="str" cm="1">
        <f t="array" ref="E8">_xlfn.IFS(ISBLANK(F8), "", OR(F8="Jan", F8="Feb", F8="Mar"), "Q1", OR(F8="April", F8="May", F8="June"), "Q2", OR(F8="July", F8="August", F8="September"), "Q3", OR(F8="October", F8="November", F8="December"), "Q4", TRUE, "")</f>
        <v>Q2</v>
      </c>
      <c r="F8" s="11" t="s">
        <v>101</v>
      </c>
      <c r="G8" s="11" t="s">
        <v>94</v>
      </c>
      <c r="H8" s="11" t="s">
        <v>99</v>
      </c>
      <c r="I8" s="11"/>
    </row>
    <row r="9" spans="1:9" ht="18" customHeight="1">
      <c r="A9" s="11" t="s">
        <v>10</v>
      </c>
      <c r="B9" s="11">
        <f>VLOOKUP($A9,contracts!$A$2:$L$100,2,0)</f>
        <v>102001</v>
      </c>
      <c r="C9" s="11" t="str">
        <f>VLOOKUP($A9,contracts!$A$2:$L$100,3,0)</f>
        <v>Europe</v>
      </c>
      <c r="D9" s="11" t="str">
        <f>VLOOKUP($A9,contracts!$A$2:$L$100,4,0)</f>
        <v>Sweden</v>
      </c>
      <c r="E9" s="11" t="str" cm="1">
        <f t="array" ref="E9">_xlfn.IFS(ISBLANK(F9), "", OR(F9="Jan", F9="Feb", F9="Mar"), "Q1", OR(F9="April", F9="May", F9="June"), "Q2", OR(F9="July", F9="August", F9="September"), "Q3", OR(F9="October", F9="November", F9="December"), "Q4", TRUE, "")</f>
        <v>Q2</v>
      </c>
      <c r="F9" s="11" t="s">
        <v>101</v>
      </c>
      <c r="G9" s="11" t="s">
        <v>95</v>
      </c>
      <c r="H9" s="11" t="s">
        <v>104</v>
      </c>
      <c r="I9" s="11"/>
    </row>
    <row r="10" spans="1:9" ht="18" customHeight="1">
      <c r="A10" s="11" t="s">
        <v>10</v>
      </c>
      <c r="B10" s="11">
        <f>VLOOKUP($A10,contracts!$A$2:$L$100,2,0)</f>
        <v>102001</v>
      </c>
      <c r="C10" s="11" t="str">
        <f>VLOOKUP($A10,contracts!$A$2:$L$100,3,0)</f>
        <v>Europe</v>
      </c>
      <c r="D10" s="11" t="str">
        <f>VLOOKUP($A10,contracts!$A$2:$L$100,4,0)</f>
        <v>Sweden</v>
      </c>
      <c r="E10" s="11" t="str" cm="1">
        <f t="array" ref="E10">_xlfn.IFS(ISBLANK(F10), "", OR(F10="Jan", F10="Feb", F10="Mar"), "Q1", OR(F10="April", F10="May", F10="June"), "Q2", OR(F10="July", F10="August", F10="September"), "Q3", OR(F10="October", F10="November", F10="December"), "Q4", TRUE, "")</f>
        <v>Q2</v>
      </c>
      <c r="F10" s="11" t="s">
        <v>107</v>
      </c>
      <c r="G10" s="11" t="s">
        <v>98</v>
      </c>
      <c r="H10" s="11" t="s">
        <v>65</v>
      </c>
      <c r="I10" s="11"/>
    </row>
    <row r="11" spans="1:9" ht="18" customHeight="1">
      <c r="A11" s="11" t="s">
        <v>10</v>
      </c>
      <c r="B11" s="11">
        <f>VLOOKUP($A11,contracts!$A$2:$L$100,2,0)</f>
        <v>102001</v>
      </c>
      <c r="C11" s="11" t="str">
        <f>VLOOKUP($A11,contracts!$A$2:$L$100,3,0)</f>
        <v>Europe</v>
      </c>
      <c r="D11" s="11" t="str">
        <f>VLOOKUP($A11,contracts!$A$2:$L$100,4,0)</f>
        <v>Sweden</v>
      </c>
      <c r="E11" s="11" t="str" cm="1">
        <f t="array" ref="E11">_xlfn.IFS(ISBLANK(F11), "", OR(F11="Jan", F11="Feb", F11="Mar"), "Q1", OR(F11="April", F11="May", F11="June"), "Q2", OR(F11="July", F11="August", F11="September"), "Q3", OR(F11="October", F11="November", F11="December"), "Q4", TRUE, "")</f>
        <v>Q2</v>
      </c>
      <c r="F11" s="11" t="s">
        <v>107</v>
      </c>
      <c r="G11" s="11" t="s">
        <v>100</v>
      </c>
      <c r="H11" s="11" t="s">
        <v>70</v>
      </c>
      <c r="I11" s="11"/>
    </row>
    <row r="12" spans="1:9" ht="18" customHeight="1">
      <c r="A12" s="11" t="s">
        <v>12</v>
      </c>
      <c r="B12" s="11">
        <f>VLOOKUP($A12,contracts!$A$2:$L$100,2,0)</f>
        <v>103001</v>
      </c>
      <c r="C12" s="11" t="str">
        <f>VLOOKUP($A12,contracts!$A$2:$L$100,3,0)</f>
        <v>Europe</v>
      </c>
      <c r="D12" s="11" t="str">
        <f>VLOOKUP($A12,contracts!$A$2:$L$100,4,0)</f>
        <v>France</v>
      </c>
      <c r="E12" s="11" t="str" cm="1">
        <f t="array" ref="E12">_xlfn.IFS(ISBLANK(F12), "", OR(F12="Jan", F12="Feb", F12="Mar"), "Q1", OR(F12="April", F12="May", F12="June"), "Q2", OR(F12="July", F12="August", F12="September"), "Q3", OR(F12="October", F12="November", F12="December"), "Q4", TRUE, "")</f>
        <v>Q2</v>
      </c>
      <c r="F12" s="11" t="s">
        <v>101</v>
      </c>
      <c r="G12" s="11" t="s">
        <v>100</v>
      </c>
      <c r="H12" s="11" t="s">
        <v>99</v>
      </c>
      <c r="I12" s="11"/>
    </row>
    <row r="13" spans="1:9" ht="18" customHeight="1">
      <c r="A13" s="11" t="s">
        <v>12</v>
      </c>
      <c r="B13" s="11">
        <f>VLOOKUP($A13,contracts!$A$2:$L$100,2,0)</f>
        <v>103001</v>
      </c>
      <c r="C13" s="11" t="str">
        <f>VLOOKUP($A13,contracts!$A$2:$L$100,3,0)</f>
        <v>Europe</v>
      </c>
      <c r="D13" s="11" t="str">
        <f>VLOOKUP($A13,contracts!$A$2:$L$100,4,0)</f>
        <v>France</v>
      </c>
      <c r="E13" s="11" t="str" cm="1">
        <f t="array" ref="E13">_xlfn.IFS(ISBLANK(F13), "", OR(F13="Jan", F13="Feb", F13="Mar"), "Q1", OR(F13="April", F13="May", F13="June"), "Q2", OR(F13="July", F13="August", F13="September"), "Q3", OR(F13="October", F13="November", F13="December"), "Q4", TRUE, "")</f>
        <v>Q2</v>
      </c>
      <c r="F13" s="11" t="s">
        <v>107</v>
      </c>
      <c r="G13" s="11" t="s">
        <v>100</v>
      </c>
      <c r="H13" s="11" t="s">
        <v>103</v>
      </c>
      <c r="I13" s="11"/>
    </row>
    <row r="14" spans="1:9" ht="18" customHeight="1">
      <c r="A14" s="11" t="s">
        <v>12</v>
      </c>
      <c r="B14" s="11">
        <f>VLOOKUP($A14,contracts!$A$2:$L$100,2,0)</f>
        <v>103001</v>
      </c>
      <c r="C14" s="11" t="str">
        <f>VLOOKUP($A14,contracts!$A$2:$L$100,3,0)</f>
        <v>Europe</v>
      </c>
      <c r="D14" s="11" t="str">
        <f>VLOOKUP($A14,contracts!$A$2:$L$100,4,0)</f>
        <v>France</v>
      </c>
      <c r="E14" s="11" t="str" cm="1">
        <f t="array" ref="E14">_xlfn.IFS(ISBLANK(F14), "", OR(F14="Jan", F14="Feb", F14="Mar"), "Q1", OR(F14="April", F14="May", F14="June"), "Q2", OR(F14="July", F14="August", F14="September"), "Q3", OR(F14="October", F14="November", F14="December"), "Q4", TRUE, "")</f>
        <v>Q3</v>
      </c>
      <c r="F14" s="11" t="s">
        <v>113</v>
      </c>
      <c r="G14" s="11" t="s">
        <v>98</v>
      </c>
      <c r="H14" s="11" t="s">
        <v>112</v>
      </c>
      <c r="I14" s="11"/>
    </row>
    <row r="15" spans="1:9" ht="18" customHeight="1">
      <c r="A15" s="11" t="s">
        <v>12</v>
      </c>
      <c r="B15" s="11">
        <f>VLOOKUP($A15,contracts!$A$2:$L$100,2,0)</f>
        <v>103001</v>
      </c>
      <c r="C15" s="11" t="str">
        <f>VLOOKUP($A15,contracts!$A$2:$L$100,3,0)</f>
        <v>Europe</v>
      </c>
      <c r="D15" s="11" t="str">
        <f>VLOOKUP($A15,contracts!$A$2:$L$100,4,0)</f>
        <v>France</v>
      </c>
      <c r="E15" s="11" t="str" cm="1">
        <f t="array" ref="E15">_xlfn.IFS(ISBLANK(F15), "", OR(F15="Jan", F15="Feb", F15="Mar"), "Q1", OR(F15="April", F15="May", F15="June"), "Q2", OR(F15="July", F15="August", F15="September"), "Q3", OR(F15="October", F15="November", F15="December"), "Q4", TRUE, "")</f>
        <v>Q4</v>
      </c>
      <c r="F15" s="11" t="s">
        <v>125</v>
      </c>
      <c r="G15" s="11" t="s">
        <v>106</v>
      </c>
      <c r="H15" s="11" t="s">
        <v>70</v>
      </c>
      <c r="I15" s="11"/>
    </row>
    <row r="16" spans="1:9" ht="18" customHeight="1">
      <c r="A16" s="11" t="s">
        <v>12</v>
      </c>
      <c r="B16" s="11">
        <f>VLOOKUP($A16,contracts!$A$2:$L$100,2,0)</f>
        <v>103001</v>
      </c>
      <c r="C16" s="11" t="str">
        <f>VLOOKUP($A16,contracts!$A$2:$L$100,3,0)</f>
        <v>Europe</v>
      </c>
      <c r="D16" s="11" t="str">
        <f>VLOOKUP($A16,contracts!$A$2:$L$100,4,0)</f>
        <v>France</v>
      </c>
      <c r="E16" s="11" t="str" cm="1">
        <f t="array" ref="E16">_xlfn.IFS(ISBLANK(F16), "", OR(F16="Jan", F16="Feb", F16="Mar"), "Q1", OR(F16="April", F16="May", F16="June"), "Q2", OR(F16="July", F16="August", F16="September"), "Q3", OR(F16="October", F16="November", F16="December"), "Q4", TRUE, "")</f>
        <v>Q4</v>
      </c>
      <c r="F16" s="11" t="s">
        <v>126</v>
      </c>
      <c r="G16" s="11" t="s">
        <v>106</v>
      </c>
      <c r="H16" s="11" t="s">
        <v>102</v>
      </c>
      <c r="I16" s="11"/>
    </row>
    <row r="17" spans="1:9" ht="18" customHeight="1">
      <c r="A17" s="11" t="s">
        <v>14</v>
      </c>
      <c r="B17" s="11">
        <f>VLOOKUP($A17,contracts!$A$2:$L$100,2,0)</f>
        <v>103002</v>
      </c>
      <c r="C17" s="11" t="str">
        <f>VLOOKUP($A17,contracts!$A$2:$L$100,3,0)</f>
        <v>Europe</v>
      </c>
      <c r="D17" s="11" t="str">
        <f>VLOOKUP($A17,contracts!$A$2:$L$100,4,0)</f>
        <v>France</v>
      </c>
      <c r="E17" s="11" t="str" cm="1">
        <f t="array" ref="E17">_xlfn.IFS(ISBLANK(F17), "", OR(F17="Jan", F17="Feb", F17="Mar"), "Q1", OR(F17="April", F17="May", F17="June"), "Q2", OR(F17="July", F17="August", F17="September"), "Q3", OR(F17="October", F17="November", F17="December"), "Q4", TRUE, "")</f>
        <v>Q1</v>
      </c>
      <c r="F17" s="11" t="s">
        <v>96</v>
      </c>
      <c r="G17" s="11" t="s">
        <v>95</v>
      </c>
      <c r="H17" s="11" t="s">
        <v>102</v>
      </c>
      <c r="I17" s="11"/>
    </row>
    <row r="18" spans="1:9" ht="18" customHeight="1">
      <c r="A18" s="11" t="s">
        <v>14</v>
      </c>
      <c r="B18" s="11">
        <f>VLOOKUP($A18,contracts!$A$2:$L$100,2,0)</f>
        <v>103002</v>
      </c>
      <c r="C18" s="11" t="str">
        <f>VLOOKUP($A18,contracts!$A$2:$L$100,3,0)</f>
        <v>Europe</v>
      </c>
      <c r="D18" s="11" t="str">
        <f>VLOOKUP($A18,contracts!$A$2:$L$100,4,0)</f>
        <v>France</v>
      </c>
      <c r="E18" s="11" t="str" cm="1">
        <f t="array" ref="E18">_xlfn.IFS(ISBLANK(F18), "", OR(F18="Jan", F18="Feb", F18="Mar"), "Q1", OR(F18="April", F18="May", F18="June"), "Q2", OR(F18="July", F18="August", F18="September"), "Q3", OR(F18="October", F18="November", F18="December"), "Q4", TRUE, "")</f>
        <v>Q3</v>
      </c>
      <c r="F18" s="11" t="s">
        <v>115</v>
      </c>
      <c r="G18" s="11" t="s">
        <v>100</v>
      </c>
      <c r="H18" s="11" t="s">
        <v>99</v>
      </c>
      <c r="I18" s="11"/>
    </row>
    <row r="19" spans="1:9" ht="18" customHeight="1">
      <c r="A19" s="11" t="s">
        <v>14</v>
      </c>
      <c r="B19" s="11">
        <f>VLOOKUP($A19,contracts!$A$2:$L$100,2,0)</f>
        <v>103002</v>
      </c>
      <c r="C19" s="11" t="str">
        <f>VLOOKUP($A19,contracts!$A$2:$L$100,3,0)</f>
        <v>Europe</v>
      </c>
      <c r="D19" s="11" t="str">
        <f>VLOOKUP($A19,contracts!$A$2:$L$100,4,0)</f>
        <v>France</v>
      </c>
      <c r="E19" s="11" t="str" cm="1">
        <f t="array" ref="E19">_xlfn.IFS(ISBLANK(F19), "", OR(F19="Jan", F19="Feb", F19="Mar"), "Q1", OR(F19="April", F19="May", F19="June"), "Q2", OR(F19="July", F19="August", F19="September"), "Q3", OR(F19="October", F19="November", F19="December"), "Q4", TRUE, "")</f>
        <v>Q4</v>
      </c>
      <c r="F19" s="11" t="s">
        <v>125</v>
      </c>
      <c r="G19" s="11" t="s">
        <v>106</v>
      </c>
      <c r="H19" s="11" t="s">
        <v>70</v>
      </c>
      <c r="I19" s="11"/>
    </row>
    <row r="20" spans="1:9" ht="18" customHeight="1">
      <c r="A20" s="11" t="s">
        <v>15</v>
      </c>
      <c r="B20" s="11">
        <f>VLOOKUP($A20,contracts!$A$2:$L$100,2,0)</f>
        <v>103003</v>
      </c>
      <c r="C20" s="11" t="str">
        <f>VLOOKUP($A20,contracts!$A$2:$L$100,3,0)</f>
        <v>Europe</v>
      </c>
      <c r="D20" s="11" t="str">
        <f>VLOOKUP($A20,contracts!$A$2:$L$100,4,0)</f>
        <v>France</v>
      </c>
      <c r="E20" s="11" t="str" cm="1">
        <f t="array" ref="E20">_xlfn.IFS(ISBLANK(F20), "", OR(F20="Jan", F20="Feb", F20="Mar"), "Q1", OR(F20="April", F20="May", F20="June"), "Q2", OR(F20="July", F20="August", F20="September"), "Q3", OR(F20="October", F20="November", F20="December"), "Q4", TRUE, "")</f>
        <v>Q1</v>
      </c>
      <c r="F20" s="11" t="s">
        <v>96</v>
      </c>
      <c r="G20" s="11" t="s">
        <v>95</v>
      </c>
      <c r="H20" s="11" t="s">
        <v>102</v>
      </c>
      <c r="I20" s="11"/>
    </row>
    <row r="21" spans="1:9" ht="18" customHeight="1">
      <c r="A21" s="11" t="s">
        <v>15</v>
      </c>
      <c r="B21" s="11">
        <f>VLOOKUP($A21,contracts!$A$2:$L$100,2,0)</f>
        <v>103003</v>
      </c>
      <c r="C21" s="11" t="str">
        <f>VLOOKUP($A21,contracts!$A$2:$L$100,3,0)</f>
        <v>Europe</v>
      </c>
      <c r="D21" s="11" t="str">
        <f>VLOOKUP($A21,contracts!$A$2:$L$100,4,0)</f>
        <v>France</v>
      </c>
      <c r="E21" s="11" t="str" cm="1">
        <f t="array" ref="E21">_xlfn.IFS(ISBLANK(F21), "", OR(F21="Jan", F21="Feb", F21="Mar"), "Q1", OR(F21="April", F21="May", F21="June"), "Q2", OR(F21="July", F21="August", F21="September"), "Q3", OR(F21="October", F21="November", F21="December"), "Q4", TRUE, "")</f>
        <v>Q3</v>
      </c>
      <c r="F21" s="11" t="s">
        <v>115</v>
      </c>
      <c r="G21" s="11" t="s">
        <v>100</v>
      </c>
      <c r="H21" s="11" t="s">
        <v>99</v>
      </c>
      <c r="I21" s="11"/>
    </row>
    <row r="22" spans="1:9" ht="18" customHeight="1">
      <c r="A22" s="11" t="s">
        <v>15</v>
      </c>
      <c r="B22" s="11">
        <f>VLOOKUP($A22,contracts!$A$2:$L$100,2,0)</f>
        <v>103003</v>
      </c>
      <c r="C22" s="11" t="str">
        <f>VLOOKUP($A22,contracts!$A$2:$L$100,3,0)</f>
        <v>Europe</v>
      </c>
      <c r="D22" s="11" t="str">
        <f>VLOOKUP($A22,contracts!$A$2:$L$100,4,0)</f>
        <v>France</v>
      </c>
      <c r="E22" s="11" t="str" cm="1">
        <f t="array" ref="E22">_xlfn.IFS(ISBLANK(F22), "", OR(F22="Jan", F22="Feb", F22="Mar"), "Q1", OR(F22="April", F22="May", F22="June"), "Q2", OR(F22="July", F22="August", F22="September"), "Q3", OR(F22="October", F22="November", F22="December"), "Q4", TRUE, "")</f>
        <v>Q4</v>
      </c>
      <c r="F22" s="11" t="s">
        <v>125</v>
      </c>
      <c r="G22" s="11" t="s">
        <v>106</v>
      </c>
      <c r="H22" s="11" t="s">
        <v>70</v>
      </c>
      <c r="I22" s="11"/>
    </row>
    <row r="23" spans="1:9" ht="18" customHeight="1">
      <c r="A23" s="11" t="s">
        <v>15</v>
      </c>
      <c r="B23" s="11">
        <f>VLOOKUP($A23,contracts!$A$2:$L$100,2,0)</f>
        <v>103003</v>
      </c>
      <c r="C23" s="11" t="str">
        <f>VLOOKUP($A23,contracts!$A$2:$L$100,3,0)</f>
        <v>Europe</v>
      </c>
      <c r="D23" s="11" t="str">
        <f>VLOOKUP($A23,contracts!$A$2:$L$100,4,0)</f>
        <v>France</v>
      </c>
      <c r="E23" s="11" t="str" cm="1">
        <f t="array" ref="E23">_xlfn.IFS(ISBLANK(F23), "", OR(F23="Jan", F23="Feb", F23="Mar"), "Q1", OR(F23="April", F23="May", F23="June"), "Q2", OR(F23="July", F23="August", F23="September"), "Q3", OR(F23="October", F23="November", F23="December"), "Q4", TRUE, "")</f>
        <v>Q4</v>
      </c>
      <c r="F23" s="11" t="s">
        <v>126</v>
      </c>
      <c r="G23" s="11" t="s">
        <v>106</v>
      </c>
      <c r="H23" s="11" t="s">
        <v>102</v>
      </c>
      <c r="I23" s="11"/>
    </row>
    <row r="24" spans="1:9" ht="18" customHeight="1">
      <c r="A24" s="11" t="s">
        <v>16</v>
      </c>
      <c r="B24" s="11">
        <f>VLOOKUP($A24,contracts!$A$2:$L$100,2,0)</f>
        <v>103004</v>
      </c>
      <c r="C24" s="11" t="str">
        <f>VLOOKUP($A24,contracts!$A$2:$L$100,3,0)</f>
        <v>Europe</v>
      </c>
      <c r="D24" s="11" t="str">
        <f>VLOOKUP($A24,contracts!$A$2:$L$100,4,0)</f>
        <v>France</v>
      </c>
      <c r="E24" s="11" t="str" cm="1">
        <f t="array" ref="E24">_xlfn.IFS(ISBLANK(F24), "", OR(F24="Jan", F24="Feb", F24="Mar"), "Q1", OR(F24="April", F24="May", F24="June"), "Q2", OR(F24="July", F24="August", F24="September"), "Q3", OR(F24="October", F24="November", F24="December"), "Q4", TRUE, "")</f>
        <v>Q2</v>
      </c>
      <c r="F24" s="11" t="s">
        <v>101</v>
      </c>
      <c r="G24" s="11" t="s">
        <v>94</v>
      </c>
      <c r="H24" s="11" t="s">
        <v>99</v>
      </c>
      <c r="I24" s="11"/>
    </row>
    <row r="25" spans="1:9" ht="18" customHeight="1">
      <c r="A25" s="11" t="s">
        <v>16</v>
      </c>
      <c r="B25" s="11">
        <f>VLOOKUP($A25,contracts!$A$2:$L$100,2,0)</f>
        <v>103004</v>
      </c>
      <c r="C25" s="11" t="str">
        <f>VLOOKUP($A25,contracts!$A$2:$L$100,3,0)</f>
        <v>Europe</v>
      </c>
      <c r="D25" s="11" t="str">
        <f>VLOOKUP($A25,contracts!$A$2:$L$100,4,0)</f>
        <v>France</v>
      </c>
      <c r="E25" s="11" t="str" cm="1">
        <f t="array" ref="E25">_xlfn.IFS(ISBLANK(F25), "", OR(F25="Jan", F25="Feb", F25="Mar"), "Q1", OR(F25="April", F25="May", F25="June"), "Q2", OR(F25="July", F25="August", F25="September"), "Q3", OR(F25="October", F25="November", F25="December"), "Q4", TRUE, "")</f>
        <v>Q2</v>
      </c>
      <c r="F25" s="11" t="s">
        <v>101</v>
      </c>
      <c r="G25" s="11" t="s">
        <v>95</v>
      </c>
      <c r="H25" s="11" t="s">
        <v>104</v>
      </c>
      <c r="I25" s="11"/>
    </row>
    <row r="26" spans="1:9" ht="18" customHeight="1">
      <c r="A26" s="11" t="s">
        <v>16</v>
      </c>
      <c r="B26" s="11">
        <f>VLOOKUP($A26,contracts!$A$2:$L$100,2,0)</f>
        <v>103004</v>
      </c>
      <c r="C26" s="11" t="str">
        <f>VLOOKUP($A26,contracts!$A$2:$L$100,3,0)</f>
        <v>Europe</v>
      </c>
      <c r="D26" s="11" t="str">
        <f>VLOOKUP($A26,contracts!$A$2:$L$100,4,0)</f>
        <v>France</v>
      </c>
      <c r="E26" s="11" t="str" cm="1">
        <f t="array" ref="E26">_xlfn.IFS(ISBLANK(F26), "", OR(F26="Jan", F26="Feb", F26="Mar"), "Q1", OR(F26="April", F26="May", F26="June"), "Q2", OR(F26="July", F26="August", F26="September"), "Q3", OR(F26="October", F26="November", F26="December"), "Q4", TRUE, "")</f>
        <v>Q3</v>
      </c>
      <c r="F26" s="11" t="s">
        <v>110</v>
      </c>
      <c r="G26" s="11" t="s">
        <v>98</v>
      </c>
      <c r="H26" s="11" t="s">
        <v>111</v>
      </c>
      <c r="I26" s="11"/>
    </row>
    <row r="27" spans="1:9" ht="18" customHeight="1">
      <c r="A27" s="11" t="s">
        <v>16</v>
      </c>
      <c r="B27" s="11">
        <f>VLOOKUP($A27,contracts!$A$2:$L$100,2,0)</f>
        <v>103004</v>
      </c>
      <c r="C27" s="11" t="str">
        <f>VLOOKUP($A27,contracts!$A$2:$L$100,3,0)</f>
        <v>Europe</v>
      </c>
      <c r="D27" s="11" t="str">
        <f>VLOOKUP($A27,contracts!$A$2:$L$100,4,0)</f>
        <v>France</v>
      </c>
      <c r="E27" s="11" t="str" cm="1">
        <f t="array" ref="E27">_xlfn.IFS(ISBLANK(F27), "", OR(F27="Jan", F27="Feb", F27="Mar"), "Q1", OR(F27="April", F27="May", F27="June"), "Q2", OR(F27="July", F27="August", F27="September"), "Q3", OR(F27="October", F27="November", F27="December"), "Q4", TRUE, "")</f>
        <v>Q3</v>
      </c>
      <c r="F27" s="11" t="s">
        <v>115</v>
      </c>
      <c r="G27" s="11" t="s">
        <v>106</v>
      </c>
      <c r="H27" s="11" t="s">
        <v>65</v>
      </c>
      <c r="I27" s="11"/>
    </row>
    <row r="28" spans="1:9" ht="18" customHeight="1">
      <c r="A28" s="11" t="s">
        <v>16</v>
      </c>
      <c r="B28" s="11">
        <f>VLOOKUP($A28,contracts!$A$2:$L$100,2,0)</f>
        <v>103004</v>
      </c>
      <c r="C28" s="11" t="str">
        <f>VLOOKUP($A28,contracts!$A$2:$L$100,3,0)</f>
        <v>Europe</v>
      </c>
      <c r="D28" s="11" t="str">
        <f>VLOOKUP($A28,contracts!$A$2:$L$100,4,0)</f>
        <v>France</v>
      </c>
      <c r="E28" s="11" t="str" cm="1">
        <f t="array" ref="E28">_xlfn.IFS(ISBLANK(F28), "", OR(F28="Jan", F28="Feb", F28="Mar"), "Q1", OR(F28="April", F28="May", F28="June"), "Q2", OR(F28="July", F28="August", F28="September"), "Q3", OR(F28="October", F28="November", F28="December"), "Q4", TRUE, "")</f>
        <v>Q4</v>
      </c>
      <c r="F28" s="11" t="s">
        <v>125</v>
      </c>
      <c r="G28" s="11" t="s">
        <v>106</v>
      </c>
      <c r="H28" s="11" t="s">
        <v>70</v>
      </c>
      <c r="I28" s="11"/>
    </row>
    <row r="29" spans="1:9" ht="18" customHeight="1">
      <c r="A29" s="11" t="s">
        <v>16</v>
      </c>
      <c r="B29" s="11">
        <f>VLOOKUP($A29,contracts!$A$2:$L$100,2,0)</f>
        <v>103004</v>
      </c>
      <c r="C29" s="11" t="str">
        <f>VLOOKUP($A29,contracts!$A$2:$L$100,3,0)</f>
        <v>Europe</v>
      </c>
      <c r="D29" s="11" t="str">
        <f>VLOOKUP($A29,contracts!$A$2:$L$100,4,0)</f>
        <v>France</v>
      </c>
      <c r="E29" s="11" t="str" cm="1">
        <f t="array" ref="E29">_xlfn.IFS(ISBLANK(F29), "", OR(F29="Jan", F29="Feb", F29="Mar"), "Q1", OR(F29="April", F29="May", F29="June"), "Q2", OR(F29="July", F29="August", F29="September"), "Q3", OR(F29="October", F29="November", F29="December"), "Q4", TRUE, "")</f>
        <v>Q4</v>
      </c>
      <c r="F29" s="11" t="s">
        <v>126</v>
      </c>
      <c r="G29" s="11" t="s">
        <v>106</v>
      </c>
      <c r="H29" s="11" t="s">
        <v>102</v>
      </c>
      <c r="I29" s="11"/>
    </row>
    <row r="30" spans="1:9" ht="18" customHeight="1">
      <c r="A30" s="11" t="s">
        <v>17</v>
      </c>
      <c r="B30" s="11">
        <f>VLOOKUP($A30,contracts!$A$2:$L$100,2,0)</f>
        <v>104001</v>
      </c>
      <c r="C30" s="11" t="str">
        <f>VLOOKUP($A30,contracts!$A$2:$L$100,3,0)</f>
        <v>Europe</v>
      </c>
      <c r="D30" s="11" t="str">
        <f>VLOOKUP($A30,contracts!$A$2:$L$100,4,0)</f>
        <v>Germany</v>
      </c>
      <c r="E30" s="11" t="str" cm="1">
        <f t="array" ref="E30">_xlfn.IFS(ISBLANK(F30), "", OR(F30="Jan", F30="Feb", F30="Mar"), "Q1", OR(F30="April", F30="May", F30="June"), "Q2", OR(F30="July", F30="August", F30="September"), "Q3", OR(F30="October", F30="November", F30="December"), "Q4", TRUE, "")</f>
        <v>Q2</v>
      </c>
      <c r="F30" s="11" t="s">
        <v>101</v>
      </c>
      <c r="G30" s="11" t="s">
        <v>94</v>
      </c>
      <c r="H30" s="11" t="s">
        <v>99</v>
      </c>
      <c r="I30" s="11"/>
    </row>
    <row r="31" spans="1:9" ht="18" customHeight="1">
      <c r="A31" s="11" t="s">
        <v>17</v>
      </c>
      <c r="B31" s="11">
        <f>VLOOKUP($A31,contracts!$A$2:$L$100,2,0)</f>
        <v>104001</v>
      </c>
      <c r="C31" s="11" t="str">
        <f>VLOOKUP($A31,contracts!$A$2:$L$100,3,0)</f>
        <v>Europe</v>
      </c>
      <c r="D31" s="11" t="str">
        <f>VLOOKUP($A31,contracts!$A$2:$L$100,4,0)</f>
        <v>Germany</v>
      </c>
      <c r="E31" s="11" t="str" cm="1">
        <f t="array" ref="E31">_xlfn.IFS(ISBLANK(F31), "", OR(F31="Jan", F31="Feb", F31="Mar"), "Q1", OR(F31="April", F31="May", F31="June"), "Q2", OR(F31="July", F31="August", F31="September"), "Q3", OR(F31="October", F31="November", F31="December"), "Q4", TRUE, "")</f>
        <v>Q2</v>
      </c>
      <c r="F31" s="11" t="s">
        <v>107</v>
      </c>
      <c r="G31" s="11" t="s">
        <v>98</v>
      </c>
      <c r="H31" s="11" t="s">
        <v>70</v>
      </c>
      <c r="I31" s="11"/>
    </row>
    <row r="32" spans="1:9" ht="18" customHeight="1">
      <c r="A32" s="11" t="s">
        <v>17</v>
      </c>
      <c r="B32" s="11">
        <f>VLOOKUP($A32,contracts!$A$2:$L$100,2,0)</f>
        <v>104001</v>
      </c>
      <c r="C32" s="11" t="str">
        <f>VLOOKUP($A32,contracts!$A$2:$L$100,3,0)</f>
        <v>Europe</v>
      </c>
      <c r="D32" s="11" t="str">
        <f>VLOOKUP($A32,contracts!$A$2:$L$100,4,0)</f>
        <v>Germany</v>
      </c>
      <c r="E32" s="11" t="str" cm="1">
        <f t="array" ref="E32">_xlfn.IFS(ISBLANK(F32), "", OR(F32="Jan", F32="Feb", F32="Mar"), "Q1", OR(F32="April", F32="May", F32="June"), "Q2", OR(F32="July", F32="August", F32="September"), "Q3", OR(F32="October", F32="November", F32="December"), "Q4", TRUE, "")</f>
        <v>Q2</v>
      </c>
      <c r="F32" s="11" t="s">
        <v>107</v>
      </c>
      <c r="G32" s="11" t="s">
        <v>94</v>
      </c>
      <c r="H32" s="11" t="s">
        <v>74</v>
      </c>
      <c r="I32" s="11"/>
    </row>
    <row r="33" spans="1:9" ht="18" customHeight="1">
      <c r="A33" s="11" t="s">
        <v>17</v>
      </c>
      <c r="B33" s="11">
        <f>VLOOKUP($A33,contracts!$A$2:$L$100,2,0)</f>
        <v>104001</v>
      </c>
      <c r="C33" s="11" t="str">
        <f>VLOOKUP($A33,contracts!$A$2:$L$100,3,0)</f>
        <v>Europe</v>
      </c>
      <c r="D33" s="11" t="str">
        <f>VLOOKUP($A33,contracts!$A$2:$L$100,4,0)</f>
        <v>Germany</v>
      </c>
      <c r="E33" s="11" t="str" cm="1">
        <f t="array" ref="E33">_xlfn.IFS(ISBLANK(F33), "", OR(F33="Jan", F33="Feb", F33="Mar"), "Q1", OR(F33="April", F33="May", F33="June"), "Q2", OR(F33="July", F33="August", F33="September"), "Q3", OR(F33="October", F33="November", F33="December"), "Q4", TRUE, "")</f>
        <v>Q2</v>
      </c>
      <c r="F33" s="11" t="s">
        <v>109</v>
      </c>
      <c r="G33" s="11" t="s">
        <v>106</v>
      </c>
      <c r="H33" s="11" t="s">
        <v>99</v>
      </c>
      <c r="I33" s="11"/>
    </row>
    <row r="34" spans="1:9" ht="18" customHeight="1">
      <c r="A34" s="11" t="s">
        <v>17</v>
      </c>
      <c r="B34" s="11">
        <f>VLOOKUP($A34,contracts!$A$2:$L$100,2,0)</f>
        <v>104001</v>
      </c>
      <c r="C34" s="11" t="str">
        <f>VLOOKUP($A34,contracts!$A$2:$L$100,3,0)</f>
        <v>Europe</v>
      </c>
      <c r="D34" s="11" t="str">
        <f>VLOOKUP($A34,contracts!$A$2:$L$100,4,0)</f>
        <v>Germany</v>
      </c>
      <c r="E34" s="11" t="str" cm="1">
        <f t="array" ref="E34">_xlfn.IFS(ISBLANK(F34), "", OR(F34="Jan", F34="Feb", F34="Mar"), "Q1", OR(F34="April", F34="May", F34="June"), "Q2", OR(F34="July", F34="August", F34="September"), "Q3", OR(F34="October", F34="November", F34="December"), "Q4", TRUE, "")</f>
        <v>Q3</v>
      </c>
      <c r="F34" s="11" t="s">
        <v>113</v>
      </c>
      <c r="G34" s="11" t="s">
        <v>94</v>
      </c>
      <c r="H34" s="11" t="s">
        <v>112</v>
      </c>
      <c r="I34" s="11"/>
    </row>
    <row r="35" spans="1:9" ht="18" customHeight="1">
      <c r="A35" s="11" t="s">
        <v>17</v>
      </c>
      <c r="B35" s="11">
        <f>VLOOKUP($A35,contracts!$A$2:$L$100,2,0)</f>
        <v>104001</v>
      </c>
      <c r="C35" s="11" t="str">
        <f>VLOOKUP($A35,contracts!$A$2:$L$100,3,0)</f>
        <v>Europe</v>
      </c>
      <c r="D35" s="11" t="str">
        <f>VLOOKUP($A35,contracts!$A$2:$L$100,4,0)</f>
        <v>Germany</v>
      </c>
      <c r="E35" s="11" t="str" cm="1">
        <f t="array" ref="E35">_xlfn.IFS(ISBLANK(F35), "", OR(F35="Jan", F35="Feb", F35="Mar"), "Q1", OR(F35="April", F35="May", F35="June"), "Q2", OR(F35="July", F35="August", F35="September"), "Q3", OR(F35="October", F35="November", F35="December"), "Q4", TRUE, "")</f>
        <v>Q3</v>
      </c>
      <c r="F35" s="11" t="s">
        <v>115</v>
      </c>
      <c r="G35" s="11" t="s">
        <v>98</v>
      </c>
      <c r="H35" s="11" t="s">
        <v>90</v>
      </c>
      <c r="I35" s="11"/>
    </row>
    <row r="36" spans="1:9" ht="18" customHeight="1">
      <c r="A36" s="11" t="s">
        <v>17</v>
      </c>
      <c r="B36" s="11">
        <f>VLOOKUP($A36,contracts!$A$2:$L$100,2,0)</f>
        <v>104001</v>
      </c>
      <c r="C36" s="11" t="str">
        <f>VLOOKUP($A36,contracts!$A$2:$L$100,3,0)</f>
        <v>Europe</v>
      </c>
      <c r="D36" s="11" t="str">
        <f>VLOOKUP($A36,contracts!$A$2:$L$100,4,0)</f>
        <v>Germany</v>
      </c>
      <c r="E36" s="11" t="str" cm="1">
        <f t="array" ref="E36">_xlfn.IFS(ISBLANK(F36), "", OR(F36="Jan", F36="Feb", F36="Mar"), "Q1", OR(F36="April", F36="May", F36="June"), "Q2", OR(F36="July", F36="August", F36="September"), "Q3", OR(F36="October", F36="November", F36="December"), "Q4", TRUE, "")</f>
        <v>Q3</v>
      </c>
      <c r="F36" s="11" t="s">
        <v>115</v>
      </c>
      <c r="G36" s="11" t="s">
        <v>106</v>
      </c>
      <c r="H36" s="11" t="s">
        <v>65</v>
      </c>
      <c r="I36" s="11"/>
    </row>
    <row r="37" spans="1:9" ht="18" customHeight="1">
      <c r="A37" s="11" t="s">
        <v>17</v>
      </c>
      <c r="B37" s="11">
        <f>VLOOKUP($A37,contracts!$A$2:$L$100,2,0)</f>
        <v>104001</v>
      </c>
      <c r="C37" s="11" t="str">
        <f>VLOOKUP($A37,contracts!$A$2:$L$100,3,0)</f>
        <v>Europe</v>
      </c>
      <c r="D37" s="11" t="str">
        <f>VLOOKUP($A37,contracts!$A$2:$L$100,4,0)</f>
        <v>Germany</v>
      </c>
      <c r="E37" s="11" t="str" cm="1">
        <f t="array" ref="E37">_xlfn.IFS(ISBLANK(F37), "", OR(F37="Jan", F37="Feb", F37="Mar"), "Q1", OR(F37="April", F37="May", F37="June"), "Q2", OR(F37="July", F37="August", F37="September"), "Q3", OR(F37="October", F37="November", F37="December"), "Q4", TRUE, "")</f>
        <v>Q4</v>
      </c>
      <c r="F37" s="11" t="s">
        <v>121</v>
      </c>
      <c r="G37" s="11" t="s">
        <v>100</v>
      </c>
      <c r="H37" s="11" t="s">
        <v>70</v>
      </c>
      <c r="I37" s="11"/>
    </row>
    <row r="38" spans="1:9" ht="18" customHeight="1">
      <c r="A38" s="11" t="s">
        <v>17</v>
      </c>
      <c r="B38" s="11">
        <f>VLOOKUP($A38,contracts!$A$2:$L$100,2,0)</f>
        <v>104001</v>
      </c>
      <c r="C38" s="11" t="str">
        <f>VLOOKUP($A38,contracts!$A$2:$L$100,3,0)</f>
        <v>Europe</v>
      </c>
      <c r="D38" s="11" t="str">
        <f>VLOOKUP($A38,contracts!$A$2:$L$100,4,0)</f>
        <v>Germany</v>
      </c>
      <c r="E38" s="11" t="str" cm="1">
        <f t="array" ref="E38">_xlfn.IFS(ISBLANK(F38), "", OR(F38="Jan", F38="Feb", F38="Mar"), "Q1", OR(F38="April", F38="May", F38="June"), "Q2", OR(F38="July", F38="August", F38="September"), "Q3", OR(F38="October", F38="November", F38="December"), "Q4", TRUE, "")</f>
        <v>Q4</v>
      </c>
      <c r="F38" s="11" t="s">
        <v>125</v>
      </c>
      <c r="G38" s="11" t="s">
        <v>100</v>
      </c>
      <c r="H38" s="11" t="s">
        <v>70</v>
      </c>
      <c r="I38" s="11"/>
    </row>
    <row r="39" spans="1:9" ht="18" customHeight="1">
      <c r="A39" s="11" t="s">
        <v>19</v>
      </c>
      <c r="B39" s="11">
        <f>VLOOKUP($A39,contracts!$A$2:$L$100,2,0)</f>
        <v>104002</v>
      </c>
      <c r="C39" s="11" t="str">
        <f>VLOOKUP($A39,contracts!$A$2:$L$100,3,0)</f>
        <v>Europe</v>
      </c>
      <c r="D39" s="11" t="str">
        <f>VLOOKUP($A39,contracts!$A$2:$L$100,4,0)</f>
        <v>Germany</v>
      </c>
      <c r="E39" s="11" t="str" cm="1">
        <f t="array" ref="E39">_xlfn.IFS(ISBLANK(F39), "", OR(F39="Jan", F39="Feb", F39="Mar"), "Q1", OR(F39="April", F39="May", F39="June"), "Q2", OR(F39="July", F39="August", F39="September"), "Q3", OR(F39="October", F39="November", F39="December"), "Q4", TRUE, "")</f>
        <v>Q3</v>
      </c>
      <c r="F39" s="11" t="s">
        <v>115</v>
      </c>
      <c r="G39" s="11" t="s">
        <v>106</v>
      </c>
      <c r="H39" s="11" t="s">
        <v>99</v>
      </c>
      <c r="I39" s="11"/>
    </row>
    <row r="40" spans="1:9" ht="18" customHeight="1">
      <c r="A40" s="11" t="s">
        <v>20</v>
      </c>
      <c r="B40" s="11">
        <f>VLOOKUP($A40,contracts!$A$2:$L$100,2,0)</f>
        <v>104003</v>
      </c>
      <c r="C40" s="11" t="str">
        <f>VLOOKUP($A40,contracts!$A$2:$L$100,3,0)</f>
        <v>Europe</v>
      </c>
      <c r="D40" s="11" t="str">
        <f>VLOOKUP($A40,contracts!$A$2:$L$100,4,0)</f>
        <v>Germany</v>
      </c>
      <c r="E40" s="11" t="str" cm="1">
        <f t="array" ref="E40">_xlfn.IFS(ISBLANK(F40), "", OR(F40="Jan", F40="Feb", F40="Mar"), "Q1", OR(F40="April", F40="May", F40="June"), "Q2", OR(F40="July", F40="August", F40="September"), "Q3", OR(F40="October", F40="November", F40="December"), "Q4", TRUE, "")</f>
        <v>Q3</v>
      </c>
      <c r="F40" s="11" t="s">
        <v>115</v>
      </c>
      <c r="G40" s="11" t="s">
        <v>106</v>
      </c>
      <c r="H40" s="11" t="s">
        <v>99</v>
      </c>
      <c r="I40" s="11"/>
    </row>
    <row r="41" spans="1:9" ht="18" customHeight="1">
      <c r="A41" s="11" t="s">
        <v>20</v>
      </c>
      <c r="B41" s="11">
        <f>VLOOKUP($A41,contracts!$A$2:$L$100,2,0)</f>
        <v>104003</v>
      </c>
      <c r="C41" s="11" t="str">
        <f>VLOOKUP($A41,contracts!$A$2:$L$100,3,0)</f>
        <v>Europe</v>
      </c>
      <c r="D41" s="11" t="str">
        <f>VLOOKUP($A41,contracts!$A$2:$L$100,4,0)</f>
        <v>Germany</v>
      </c>
      <c r="E41" s="11" t="str" cm="1">
        <f t="array" ref="E41">_xlfn.IFS(ISBLANK(F41), "", OR(F41="Jan", F41="Feb", F41="Mar"), "Q1", OR(F41="April", F41="May", F41="June"), "Q2", OR(F41="July", F41="August", F41="September"), "Q3", OR(F41="October", F41="November", F41="December"), "Q4", TRUE, "")</f>
        <v>Q4</v>
      </c>
      <c r="F41" s="11" t="s">
        <v>121</v>
      </c>
      <c r="G41" s="11" t="s">
        <v>100</v>
      </c>
      <c r="H41" s="11" t="s">
        <v>117</v>
      </c>
      <c r="I41" s="11"/>
    </row>
    <row r="42" spans="1:9" ht="18" customHeight="1">
      <c r="A42" s="11" t="s">
        <v>21</v>
      </c>
      <c r="B42" s="11">
        <f>VLOOKUP($A42,contracts!$A$2:$L$100,2,0)</f>
        <v>105001</v>
      </c>
      <c r="C42" s="11" t="str">
        <f>VLOOKUP($A42,contracts!$A$2:$L$100,3,0)</f>
        <v>Europe</v>
      </c>
      <c r="D42" s="11" t="str">
        <f>VLOOKUP($A42,contracts!$A$2:$L$100,4,0)</f>
        <v>Lithuania</v>
      </c>
      <c r="E42" s="11" t="str" cm="1">
        <f t="array" ref="E42">_xlfn.IFS(ISBLANK(F42), "", OR(F42="Jan", F42="Feb", F42="Mar"), "Q1", OR(F42="April", F42="May", F42="June"), "Q2", OR(F42="July", F42="August", F42="September"), "Q3", OR(F42="October", F42="November", F42="December"), "Q4", TRUE, "")</f>
        <v>Q2</v>
      </c>
      <c r="F42" s="11" t="s">
        <v>107</v>
      </c>
      <c r="G42" s="11" t="s">
        <v>100</v>
      </c>
      <c r="H42" s="11" t="s">
        <v>99</v>
      </c>
      <c r="I42" s="11"/>
    </row>
    <row r="43" spans="1:9" ht="18" customHeight="1">
      <c r="A43" s="11" t="s">
        <v>21</v>
      </c>
      <c r="B43" s="11">
        <f>VLOOKUP($A43,contracts!$A$2:$L$100,2,0)</f>
        <v>105001</v>
      </c>
      <c r="C43" s="11" t="str">
        <f>VLOOKUP($A43,contracts!$A$2:$L$100,3,0)</f>
        <v>Europe</v>
      </c>
      <c r="D43" s="11" t="str">
        <f>VLOOKUP($A43,contracts!$A$2:$L$100,4,0)</f>
        <v>Lithuania</v>
      </c>
      <c r="E43" s="11" t="str" cm="1">
        <f t="array" ref="E43">_xlfn.IFS(ISBLANK(F43), "", OR(F43="Jan", F43="Feb", F43="Mar"), "Q1", OR(F43="April", F43="May", F43="June"), "Q2", OR(F43="July", F43="August", F43="September"), "Q3", OR(F43="October", F43="November", F43="December"), "Q4", TRUE, "")</f>
        <v>Q2</v>
      </c>
      <c r="F43" s="11" t="s">
        <v>109</v>
      </c>
      <c r="G43" s="11" t="s">
        <v>106</v>
      </c>
      <c r="H43" s="11" t="s">
        <v>104</v>
      </c>
      <c r="I43" s="11"/>
    </row>
    <row r="44" spans="1:9" ht="18" customHeight="1">
      <c r="A44" s="11" t="s">
        <v>24</v>
      </c>
      <c r="B44" s="11">
        <f>VLOOKUP($A44,contracts!$A$2:$L$100,2,0)</f>
        <v>106001</v>
      </c>
      <c r="C44" s="11" t="str">
        <f>VLOOKUP($A44,contracts!$A$2:$L$100,3,0)</f>
        <v>Europe</v>
      </c>
      <c r="D44" s="11" t="str">
        <f>VLOOKUP($A44,contracts!$A$2:$L$100,4,0)</f>
        <v>Romania</v>
      </c>
      <c r="E44" s="11" t="str" cm="1">
        <f t="array" ref="E44">_xlfn.IFS(ISBLANK(F44), "", OR(F44="Jan", F44="Feb", F44="Mar"), "Q1", OR(F44="April", F44="May", F44="June"), "Q2", OR(F44="July", F44="August", F44="September"), "Q3", OR(F44="October", F44="November", F44="December"), "Q4", TRUE, "")</f>
        <v>Q2</v>
      </c>
      <c r="F44" s="11" t="s">
        <v>107</v>
      </c>
      <c r="G44" s="11" t="s">
        <v>94</v>
      </c>
      <c r="H44" s="11" t="s">
        <v>70</v>
      </c>
      <c r="I44" s="11"/>
    </row>
    <row r="45" spans="1:9" ht="18" customHeight="1">
      <c r="A45" s="11" t="s">
        <v>24</v>
      </c>
      <c r="B45" s="11">
        <f>VLOOKUP($A45,contracts!$A$2:$L$100,2,0)</f>
        <v>106001</v>
      </c>
      <c r="C45" s="11" t="str">
        <f>VLOOKUP($A45,contracts!$A$2:$L$100,3,0)</f>
        <v>Europe</v>
      </c>
      <c r="D45" s="11" t="str">
        <f>VLOOKUP($A45,contracts!$A$2:$L$100,4,0)</f>
        <v>Romania</v>
      </c>
      <c r="E45" s="11" t="str" cm="1">
        <f t="array" ref="E45">_xlfn.IFS(ISBLANK(F45), "", OR(F45="Jan", F45="Feb", F45="Mar"), "Q1", OR(F45="April", F45="May", F45="June"), "Q2", OR(F45="July", F45="August", F45="September"), "Q3", OR(F45="October", F45="November", F45="December"), "Q4", TRUE, "")</f>
        <v>Q2</v>
      </c>
      <c r="F45" s="11" t="s">
        <v>107</v>
      </c>
      <c r="G45" s="11" t="s">
        <v>100</v>
      </c>
      <c r="H45" s="11" t="s">
        <v>99</v>
      </c>
      <c r="I45" s="11"/>
    </row>
    <row r="46" spans="1:9" ht="18" customHeight="1">
      <c r="A46" s="11" t="s">
        <v>24</v>
      </c>
      <c r="B46" s="11">
        <f>VLOOKUP($A46,contracts!$A$2:$L$100,2,0)</f>
        <v>106001</v>
      </c>
      <c r="C46" s="11" t="str">
        <f>VLOOKUP($A46,contracts!$A$2:$L$100,3,0)</f>
        <v>Europe</v>
      </c>
      <c r="D46" s="11" t="str">
        <f>VLOOKUP($A46,contracts!$A$2:$L$100,4,0)</f>
        <v>Romania</v>
      </c>
      <c r="E46" s="11" t="str" cm="1">
        <f t="array" ref="E46">_xlfn.IFS(ISBLANK(F46), "", OR(F46="Jan", F46="Feb", F46="Mar"), "Q1", OR(F46="April", F46="May", F46="June"), "Q2", OR(F46="July", F46="August", F46="September"), "Q3", OR(F46="October", F46="November", F46="December"), "Q4", TRUE, "")</f>
        <v>Q2</v>
      </c>
      <c r="F46" s="11" t="s">
        <v>109</v>
      </c>
      <c r="G46" s="11" t="s">
        <v>106</v>
      </c>
      <c r="H46" s="11" t="s">
        <v>104</v>
      </c>
      <c r="I46" s="11"/>
    </row>
    <row r="47" spans="1:9" ht="18" customHeight="1">
      <c r="A47" s="11" t="s">
        <v>24</v>
      </c>
      <c r="B47" s="11">
        <f>VLOOKUP($A47,contracts!$A$2:$L$100,2,0)</f>
        <v>106001</v>
      </c>
      <c r="C47" s="11" t="str">
        <f>VLOOKUP($A47,contracts!$A$2:$L$100,3,0)</f>
        <v>Europe</v>
      </c>
      <c r="D47" s="11" t="str">
        <f>VLOOKUP($A47,contracts!$A$2:$L$100,4,0)</f>
        <v>Romania</v>
      </c>
      <c r="E47" s="11" t="str" cm="1">
        <f t="array" ref="E47">_xlfn.IFS(ISBLANK(F47), "", OR(F47="Jan", F47="Feb", F47="Mar"), "Q1", OR(F47="April", F47="May", F47="June"), "Q2", OR(F47="July", F47="August", F47="September"), "Q3", OR(F47="October", F47="November", F47="December"), "Q4", TRUE, "")</f>
        <v>Q3</v>
      </c>
      <c r="F47" s="11" t="s">
        <v>110</v>
      </c>
      <c r="G47" s="11" t="s">
        <v>100</v>
      </c>
      <c r="H47" s="11" t="s">
        <v>112</v>
      </c>
      <c r="I47" s="11"/>
    </row>
    <row r="48" spans="1:9" ht="18" customHeight="1">
      <c r="A48" s="11" t="s">
        <v>26</v>
      </c>
      <c r="B48" s="11">
        <f>VLOOKUP($A48,contracts!$A$2:$L$100,2,0)</f>
        <v>107001</v>
      </c>
      <c r="C48" s="11" t="str">
        <f>VLOOKUP($A48,contracts!$A$2:$L$100,3,0)</f>
        <v>Europe</v>
      </c>
      <c r="D48" s="11" t="str">
        <f>VLOOKUP($A48,contracts!$A$2:$L$100,4,0)</f>
        <v>Greece</v>
      </c>
      <c r="E48" s="11" t="str" cm="1">
        <f t="array" ref="E48">_xlfn.IFS(ISBLANK(F48), "", OR(F48="Jan", F48="Feb", F48="Mar"), "Q1", OR(F48="April", F48="May", F48="June"), "Q2", OR(F48="July", F48="August", F48="September"), "Q3", OR(F48="October", F48="November", F48="December"), "Q4", TRUE, "")</f>
        <v>Q1</v>
      </c>
      <c r="F48" s="11" t="s">
        <v>96</v>
      </c>
      <c r="G48" s="11" t="s">
        <v>95</v>
      </c>
      <c r="H48" s="11" t="s">
        <v>102</v>
      </c>
      <c r="I48" s="11"/>
    </row>
    <row r="49" spans="1:9" ht="18" customHeight="1">
      <c r="A49" s="11" t="s">
        <v>26</v>
      </c>
      <c r="B49" s="11">
        <f>VLOOKUP($A49,contracts!$A$2:$L$100,2,0)</f>
        <v>107001</v>
      </c>
      <c r="C49" s="11" t="str">
        <f>VLOOKUP($A49,contracts!$A$2:$L$100,3,0)</f>
        <v>Europe</v>
      </c>
      <c r="D49" s="11" t="str">
        <f>VLOOKUP($A49,contracts!$A$2:$L$100,4,0)</f>
        <v>Greece</v>
      </c>
      <c r="E49" s="11" t="str" cm="1">
        <f t="array" ref="E49">_xlfn.IFS(ISBLANK(F49), "", OR(F49="Jan", F49="Feb", F49="Mar"), "Q1", OR(F49="April", F49="May", F49="June"), "Q2", OR(F49="July", F49="August", F49="September"), "Q3", OR(F49="October", F49="November", F49="December"), "Q4", TRUE, "")</f>
        <v>Q3</v>
      </c>
      <c r="F49" s="11" t="s">
        <v>110</v>
      </c>
      <c r="G49" s="11" t="s">
        <v>98</v>
      </c>
      <c r="H49" s="11" t="s">
        <v>99</v>
      </c>
      <c r="I49" s="11"/>
    </row>
    <row r="50" spans="1:9" ht="18" customHeight="1">
      <c r="A50" s="11" t="s">
        <v>26</v>
      </c>
      <c r="B50" s="11">
        <f>VLOOKUP($A50,contracts!$A$2:$L$100,2,0)</f>
        <v>107001</v>
      </c>
      <c r="C50" s="11" t="str">
        <f>VLOOKUP($A50,contracts!$A$2:$L$100,3,0)</f>
        <v>Europe</v>
      </c>
      <c r="D50" s="11" t="str">
        <f>VLOOKUP($A50,contracts!$A$2:$L$100,4,0)</f>
        <v>Greece</v>
      </c>
      <c r="E50" s="11" t="str" cm="1">
        <f t="array" ref="E50">_xlfn.IFS(ISBLANK(F50), "", OR(F50="Jan", F50="Feb", F50="Mar"), "Q1", OR(F50="April", F50="May", F50="June"), "Q2", OR(F50="July", F50="August", F50="September"), "Q3", OR(F50="October", F50="November", F50="December"), "Q4", TRUE, "")</f>
        <v>Q3</v>
      </c>
      <c r="F50" s="11" t="s">
        <v>110</v>
      </c>
      <c r="G50" s="11" t="s">
        <v>95</v>
      </c>
      <c r="H50" s="11" t="s">
        <v>104</v>
      </c>
      <c r="I50" s="11"/>
    </row>
    <row r="51" spans="1:9" ht="18" customHeight="1">
      <c r="A51" s="11" t="s">
        <v>26</v>
      </c>
      <c r="B51" s="11">
        <f>VLOOKUP($A51,contracts!$A$2:$L$100,2,0)</f>
        <v>107001</v>
      </c>
      <c r="C51" s="11" t="str">
        <f>VLOOKUP($A51,contracts!$A$2:$L$100,3,0)</f>
        <v>Europe</v>
      </c>
      <c r="D51" s="11" t="str">
        <f>VLOOKUP($A51,contracts!$A$2:$L$100,4,0)</f>
        <v>Greece</v>
      </c>
      <c r="E51" s="11" t="str" cm="1">
        <f t="array" ref="E51">_xlfn.IFS(ISBLANK(F51), "", OR(F51="Jan", F51="Feb", F51="Mar"), "Q1", OR(F51="April", F51="May", F51="June"), "Q2", OR(F51="July", F51="August", F51="September"), "Q3", OR(F51="October", F51="November", F51="December"), "Q4", TRUE, "")</f>
        <v>Q3</v>
      </c>
      <c r="F51" s="11" t="s">
        <v>113</v>
      </c>
      <c r="G51" s="11" t="s">
        <v>94</v>
      </c>
      <c r="H51" s="11" t="s">
        <v>112</v>
      </c>
      <c r="I51" s="11"/>
    </row>
    <row r="52" spans="1:9" ht="18" customHeight="1">
      <c r="A52" s="11" t="s">
        <v>26</v>
      </c>
      <c r="B52" s="11">
        <f>VLOOKUP($A52,contracts!$A$2:$L$100,2,0)</f>
        <v>107001</v>
      </c>
      <c r="C52" s="11" t="str">
        <f>VLOOKUP($A52,contracts!$A$2:$L$100,3,0)</f>
        <v>Europe</v>
      </c>
      <c r="D52" s="11" t="str">
        <f>VLOOKUP($A52,contracts!$A$2:$L$100,4,0)</f>
        <v>Greece</v>
      </c>
      <c r="E52" s="11" t="str" cm="1">
        <f t="array" ref="E52">_xlfn.IFS(ISBLANK(F52), "", OR(F52="Jan", F52="Feb", F52="Mar"), "Q1", OR(F52="April", F52="May", F52="June"), "Q2", OR(F52="July", F52="August", F52="September"), "Q3", OR(F52="October", F52="November", F52="December"), "Q4", TRUE, "")</f>
        <v>Q3</v>
      </c>
      <c r="F52" s="11" t="s">
        <v>113</v>
      </c>
      <c r="G52" s="11" t="s">
        <v>95</v>
      </c>
      <c r="H52" s="11" t="s">
        <v>70</v>
      </c>
      <c r="I52" s="11"/>
    </row>
    <row r="53" spans="1:9" ht="18" customHeight="1">
      <c r="A53" s="11" t="s">
        <v>26</v>
      </c>
      <c r="B53" s="11">
        <f>VLOOKUP($A53,contracts!$A$2:$L$100,2,0)</f>
        <v>107001</v>
      </c>
      <c r="C53" s="11" t="str">
        <f>VLOOKUP($A53,contracts!$A$2:$L$100,3,0)</f>
        <v>Europe</v>
      </c>
      <c r="D53" s="11" t="str">
        <f>VLOOKUP($A53,contracts!$A$2:$L$100,4,0)</f>
        <v>Greece</v>
      </c>
      <c r="E53" s="11" t="str" cm="1">
        <f t="array" ref="E53">_xlfn.IFS(ISBLANK(F53), "", OR(F53="Jan", F53="Feb", F53="Mar"), "Q1", OR(F53="April", F53="May", F53="June"), "Q2", OR(F53="July", F53="August", F53="September"), "Q3", OR(F53="October", F53="November", F53="December"), "Q4", TRUE, "")</f>
        <v>Q3</v>
      </c>
      <c r="F53" s="11" t="s">
        <v>113</v>
      </c>
      <c r="G53" s="11" t="s">
        <v>106</v>
      </c>
      <c r="H53" s="11" t="s">
        <v>65</v>
      </c>
      <c r="I53" s="11"/>
    </row>
    <row r="54" spans="1:9" ht="18" customHeight="1">
      <c r="A54" s="11" t="s">
        <v>26</v>
      </c>
      <c r="B54" s="11">
        <f>VLOOKUP($A54,contracts!$A$2:$L$100,2,0)</f>
        <v>107001</v>
      </c>
      <c r="C54" s="11" t="str">
        <f>VLOOKUP($A54,contracts!$A$2:$L$100,3,0)</f>
        <v>Europe</v>
      </c>
      <c r="D54" s="11" t="str">
        <f>VLOOKUP($A54,contracts!$A$2:$L$100,4,0)</f>
        <v>Greece</v>
      </c>
      <c r="E54" s="11" t="str" cm="1">
        <f t="array" ref="E54">_xlfn.IFS(ISBLANK(F54), "", OR(F54="Jan", F54="Feb", F54="Mar"), "Q1", OR(F54="April", F54="May", F54="June"), "Q2", OR(F54="July", F54="August", F54="September"), "Q3", OR(F54="October", F54="November", F54="December"), "Q4", TRUE, "")</f>
        <v>Q3</v>
      </c>
      <c r="F54" s="11" t="s">
        <v>115</v>
      </c>
      <c r="G54" s="11" t="s">
        <v>94</v>
      </c>
      <c r="H54" s="11" t="s">
        <v>90</v>
      </c>
      <c r="I54" s="11"/>
    </row>
    <row r="55" spans="1:9" ht="18" customHeight="1">
      <c r="A55" s="11" t="s">
        <v>28</v>
      </c>
      <c r="B55" s="11">
        <f>VLOOKUP($A55,contracts!$A$2:$L$100,2,0)</f>
        <v>108001</v>
      </c>
      <c r="C55" s="11" t="str">
        <f>VLOOKUP($A55,contracts!$A$2:$L$100,3,0)</f>
        <v>Europe</v>
      </c>
      <c r="D55" s="11" t="str">
        <f>VLOOKUP($A55,contracts!$A$2:$L$100,4,0)</f>
        <v>Poland</v>
      </c>
      <c r="E55" s="11" t="str" cm="1">
        <f t="array" ref="E55">_xlfn.IFS(ISBLANK(F55), "", OR(F55="Jan", F55="Feb", F55="Mar"), "Q1", OR(F55="April", F55="May", F55="June"), "Q2", OR(F55="July", F55="August", F55="September"), "Q3", OR(F55="October", F55="November", F55="December"), "Q4", TRUE, "")</f>
        <v>Q3</v>
      </c>
      <c r="F55" s="11" t="s">
        <v>115</v>
      </c>
      <c r="G55" s="11" t="s">
        <v>94</v>
      </c>
      <c r="H55" s="11" t="s">
        <v>99</v>
      </c>
      <c r="I55" s="11"/>
    </row>
    <row r="56" spans="1:9" ht="18" customHeight="1">
      <c r="A56" s="11" t="s">
        <v>30</v>
      </c>
      <c r="B56" s="11">
        <f>VLOOKUP($A56,contracts!$A$2:$L$100,2,0)</f>
        <v>108003</v>
      </c>
      <c r="C56" s="11" t="str">
        <f>VLOOKUP($A56,contracts!$A$2:$L$100,3,0)</f>
        <v>Europe</v>
      </c>
      <c r="D56" s="11" t="str">
        <f>VLOOKUP($A56,contracts!$A$2:$L$100,4,0)</f>
        <v>Poland</v>
      </c>
      <c r="E56" s="11" t="str" cm="1">
        <f t="array" ref="E56">_xlfn.IFS(ISBLANK(F56), "", OR(F56="Jan", F56="Feb", F56="Mar"), "Q1", OR(F56="April", F56="May", F56="June"), "Q2", OR(F56="July", F56="August", F56="September"), "Q3", OR(F56="October", F56="November", F56="December"), "Q4", TRUE, "")</f>
        <v>Q1</v>
      </c>
      <c r="F56" s="11" t="s">
        <v>97</v>
      </c>
      <c r="G56" s="11" t="s">
        <v>100</v>
      </c>
      <c r="H56" s="11" t="s">
        <v>102</v>
      </c>
      <c r="I56" s="11"/>
    </row>
    <row r="57" spans="1:9" ht="18" customHeight="1">
      <c r="A57" s="11" t="s">
        <v>30</v>
      </c>
      <c r="B57" s="11">
        <f>VLOOKUP($A57,contracts!$A$2:$L$100,2,0)</f>
        <v>108003</v>
      </c>
      <c r="C57" s="11" t="str">
        <f>VLOOKUP($A57,contracts!$A$2:$L$100,3,0)</f>
        <v>Europe</v>
      </c>
      <c r="D57" s="11" t="str">
        <f>VLOOKUP($A57,contracts!$A$2:$L$100,4,0)</f>
        <v>Poland</v>
      </c>
      <c r="E57" s="11" t="str" cm="1">
        <f t="array" ref="E57">_xlfn.IFS(ISBLANK(F57), "", OR(F57="Jan", F57="Feb", F57="Mar"), "Q1", OR(F57="April", F57="May", F57="June"), "Q2", OR(F57="July", F57="August", F57="September"), "Q3", OR(F57="October", F57="November", F57="December"), "Q4", TRUE, "")</f>
        <v>Q3</v>
      </c>
      <c r="F57" s="11" t="s">
        <v>110</v>
      </c>
      <c r="G57" s="11" t="s">
        <v>94</v>
      </c>
      <c r="H57" s="11" t="s">
        <v>99</v>
      </c>
      <c r="I57" s="11"/>
    </row>
    <row r="58" spans="1:9" ht="18" customHeight="1">
      <c r="A58" s="11" t="s">
        <v>30</v>
      </c>
      <c r="B58" s="11">
        <f>VLOOKUP($A58,contracts!$A$2:$L$100,2,0)</f>
        <v>108003</v>
      </c>
      <c r="C58" s="11" t="str">
        <f>VLOOKUP($A58,contracts!$A$2:$L$100,3,0)</f>
        <v>Europe</v>
      </c>
      <c r="D58" s="11" t="str">
        <f>VLOOKUP($A58,contracts!$A$2:$L$100,4,0)</f>
        <v>Poland</v>
      </c>
      <c r="E58" s="11" t="str" cm="1">
        <f t="array" ref="E58">_xlfn.IFS(ISBLANK(F58), "", OR(F58="Jan", F58="Feb", F58="Mar"), "Q1", OR(F58="April", F58="May", F58="June"), "Q2", OR(F58="July", F58="August", F58="September"), "Q3", OR(F58="October", F58="November", F58="December"), "Q4", TRUE, "")</f>
        <v>Q3</v>
      </c>
      <c r="F58" s="11" t="s">
        <v>110</v>
      </c>
      <c r="G58" s="11" t="s">
        <v>95</v>
      </c>
      <c r="H58" s="11" t="s">
        <v>104</v>
      </c>
      <c r="I58" s="11"/>
    </row>
    <row r="59" spans="1:9" ht="18" customHeight="1">
      <c r="A59" s="11" t="s">
        <v>30</v>
      </c>
      <c r="B59" s="11">
        <f>VLOOKUP($A59,contracts!$A$2:$L$100,2,0)</f>
        <v>108003</v>
      </c>
      <c r="C59" s="11" t="str">
        <f>VLOOKUP($A59,contracts!$A$2:$L$100,3,0)</f>
        <v>Europe</v>
      </c>
      <c r="D59" s="11" t="str">
        <f>VLOOKUP($A59,contracts!$A$2:$L$100,4,0)</f>
        <v>Poland</v>
      </c>
      <c r="E59" s="11" t="str" cm="1">
        <f t="array" ref="E59">_xlfn.IFS(ISBLANK(F59), "", OR(F59="Jan", F59="Feb", F59="Mar"), "Q1", OR(F59="April", F59="May", F59="June"), "Q2", OR(F59="July", F59="August", F59="September"), "Q3", OR(F59="October", F59="November", F59="December"), "Q4", TRUE, "")</f>
        <v>Q3</v>
      </c>
      <c r="F59" s="11" t="s">
        <v>115</v>
      </c>
      <c r="G59" s="11" t="s">
        <v>94</v>
      </c>
      <c r="H59" s="11" t="s">
        <v>116</v>
      </c>
      <c r="I59" s="11"/>
    </row>
    <row r="60" spans="1:9" ht="18" customHeight="1">
      <c r="A60" s="11" t="s">
        <v>30</v>
      </c>
      <c r="B60" s="11">
        <f>VLOOKUP($A60,contracts!$A$2:$L$100,2,0)</f>
        <v>108003</v>
      </c>
      <c r="C60" s="11" t="str">
        <f>VLOOKUP($A60,contracts!$A$2:$L$100,3,0)</f>
        <v>Europe</v>
      </c>
      <c r="D60" s="11" t="str">
        <f>VLOOKUP($A60,contracts!$A$2:$L$100,4,0)</f>
        <v>Poland</v>
      </c>
      <c r="E60" s="11" t="str" cm="1">
        <f t="array" ref="E60">_xlfn.IFS(ISBLANK(F60), "", OR(F60="Jan", F60="Feb", F60="Mar"), "Q1", OR(F60="April", F60="May", F60="June"), "Q2", OR(F60="July", F60="August", F60="September"), "Q3", OR(F60="October", F60="November", F60="December"), "Q4", TRUE, "")</f>
        <v>Q3</v>
      </c>
      <c r="F60" s="11" t="s">
        <v>115</v>
      </c>
      <c r="G60" s="11" t="s">
        <v>95</v>
      </c>
      <c r="H60" s="11" t="s">
        <v>70</v>
      </c>
      <c r="I60" s="11"/>
    </row>
    <row r="61" spans="1:9" ht="18" customHeight="1">
      <c r="A61" s="11" t="s">
        <v>30</v>
      </c>
      <c r="B61" s="11">
        <f>VLOOKUP($A61,contracts!$A$2:$L$100,2,0)</f>
        <v>108003</v>
      </c>
      <c r="C61" s="11" t="str">
        <f>VLOOKUP($A61,contracts!$A$2:$L$100,3,0)</f>
        <v>Europe</v>
      </c>
      <c r="D61" s="11" t="str">
        <f>VLOOKUP($A61,contracts!$A$2:$L$100,4,0)</f>
        <v>Poland</v>
      </c>
      <c r="E61" s="11" t="str" cm="1">
        <f t="array" ref="E61">_xlfn.IFS(ISBLANK(F61), "", OR(F61="Jan", F61="Feb", F61="Mar"), "Q1", OR(F61="April", F61="May", F61="June"), "Q2", OR(F61="July", F61="August", F61="September"), "Q3", OR(F61="October", F61="November", F61="December"), "Q4", TRUE, "")</f>
        <v>Q4</v>
      </c>
      <c r="F61" s="11" t="s">
        <v>121</v>
      </c>
      <c r="G61" s="11" t="s">
        <v>95</v>
      </c>
      <c r="H61" s="11" t="s">
        <v>70</v>
      </c>
      <c r="I61" s="11"/>
    </row>
    <row r="62" spans="1:9" ht="18" customHeight="1">
      <c r="A62" s="11" t="s">
        <v>30</v>
      </c>
      <c r="B62" s="11">
        <f>VLOOKUP($A62,contracts!$A$2:$L$100,2,0)</f>
        <v>108003</v>
      </c>
      <c r="C62" s="11" t="str">
        <f>VLOOKUP($A62,contracts!$A$2:$L$100,3,0)</f>
        <v>Europe</v>
      </c>
      <c r="D62" s="11" t="str">
        <f>VLOOKUP($A62,contracts!$A$2:$L$100,4,0)</f>
        <v>Poland</v>
      </c>
      <c r="E62" s="11" t="str" cm="1">
        <f t="array" ref="E62">_xlfn.IFS(ISBLANK(F62), "", OR(F62="Jan", F62="Feb", F62="Mar"), "Q1", OR(F62="April", F62="May", F62="June"), "Q2", OR(F62="July", F62="August", F62="September"), "Q3", OR(F62="October", F62="November", F62="December"), "Q4", TRUE, "")</f>
        <v>Q4</v>
      </c>
      <c r="F62" s="11" t="s">
        <v>125</v>
      </c>
      <c r="G62" s="11" t="s">
        <v>100</v>
      </c>
      <c r="H62" s="11" t="s">
        <v>70</v>
      </c>
      <c r="I62" s="11"/>
    </row>
    <row r="63" spans="1:9" ht="18" customHeight="1">
      <c r="A63" s="11" t="s">
        <v>31</v>
      </c>
      <c r="B63" s="11">
        <f>VLOOKUP($A63,contracts!$A$2:$L$100,2,0)</f>
        <v>109001</v>
      </c>
      <c r="C63" s="11" t="str">
        <f>VLOOKUP($A63,contracts!$A$2:$L$100,3,0)</f>
        <v>Europe</v>
      </c>
      <c r="D63" s="11" t="str">
        <f>VLOOKUP($A63,contracts!$A$2:$L$100,4,0)</f>
        <v>Ukraine</v>
      </c>
      <c r="E63" s="11" t="str" cm="1">
        <f t="array" ref="E63">_xlfn.IFS(ISBLANK(F63), "", OR(F63="Jan", F63="Feb", F63="Mar"), "Q1", OR(F63="April", F63="May", F63="June"), "Q2", OR(F63="July", F63="August", F63="September"), "Q3", OR(F63="October", F63="November", F63="December"), "Q4", TRUE, "")</f>
        <v>Q3</v>
      </c>
      <c r="F63" s="11" t="s">
        <v>110</v>
      </c>
      <c r="G63" s="11" t="s">
        <v>94</v>
      </c>
      <c r="H63" s="11" t="s">
        <v>99</v>
      </c>
      <c r="I63" s="11"/>
    </row>
    <row r="64" spans="1:9" ht="18" customHeight="1">
      <c r="A64" s="11" t="s">
        <v>31</v>
      </c>
      <c r="B64" s="11">
        <f>VLOOKUP($A64,contracts!$A$2:$L$100,2,0)</f>
        <v>109001</v>
      </c>
      <c r="C64" s="11" t="str">
        <f>VLOOKUP($A64,contracts!$A$2:$L$100,3,0)</f>
        <v>Europe</v>
      </c>
      <c r="D64" s="11" t="str">
        <f>VLOOKUP($A64,contracts!$A$2:$L$100,4,0)</f>
        <v>Ukraine</v>
      </c>
      <c r="E64" s="11" t="str" cm="1">
        <f t="array" ref="E64">_xlfn.IFS(ISBLANK(F64), "", OR(F64="Jan", F64="Feb", F64="Mar"), "Q1", OR(F64="April", F64="May", F64="June"), "Q2", OR(F64="July", F64="August", F64="September"), "Q3", OR(F64="October", F64="November", F64="December"), "Q4", TRUE, "")</f>
        <v>Q3</v>
      </c>
      <c r="F64" s="11" t="s">
        <v>110</v>
      </c>
      <c r="G64" s="11" t="s">
        <v>100</v>
      </c>
      <c r="H64" s="11" t="s">
        <v>111</v>
      </c>
      <c r="I64" s="11"/>
    </row>
    <row r="65" spans="1:9" ht="18" customHeight="1">
      <c r="A65" s="11" t="s">
        <v>31</v>
      </c>
      <c r="B65" s="11">
        <f>VLOOKUP($A65,contracts!$A$2:$L$100,2,0)</f>
        <v>109001</v>
      </c>
      <c r="C65" s="11" t="str">
        <f>VLOOKUP($A65,contracts!$A$2:$L$100,3,0)</f>
        <v>Europe</v>
      </c>
      <c r="D65" s="11" t="str">
        <f>VLOOKUP($A65,contracts!$A$2:$L$100,4,0)</f>
        <v>Ukraine</v>
      </c>
      <c r="E65" s="11" t="str" cm="1">
        <f t="array" ref="E65">_xlfn.IFS(ISBLANK(F65), "", OR(F65="Jan", F65="Feb", F65="Mar"), "Q1", OR(F65="April", F65="May", F65="June"), "Q2", OR(F65="July", F65="August", F65="September"), "Q3", OR(F65="October", F65="November", F65="December"), "Q4", TRUE, "")</f>
        <v>Q3</v>
      </c>
      <c r="F65" s="11" t="s">
        <v>115</v>
      </c>
      <c r="G65" s="11" t="s">
        <v>94</v>
      </c>
      <c r="H65" s="11" t="s">
        <v>117</v>
      </c>
      <c r="I65" s="11"/>
    </row>
    <row r="66" spans="1:9" ht="18" customHeight="1">
      <c r="A66" s="11" t="s">
        <v>31</v>
      </c>
      <c r="B66" s="11">
        <f>VLOOKUP($A66,contracts!$A$2:$L$100,2,0)</f>
        <v>109001</v>
      </c>
      <c r="C66" s="11" t="str">
        <f>VLOOKUP($A66,contracts!$A$2:$L$100,3,0)</f>
        <v>Europe</v>
      </c>
      <c r="D66" s="11" t="str">
        <f>VLOOKUP($A66,contracts!$A$2:$L$100,4,0)</f>
        <v>Ukraine</v>
      </c>
      <c r="E66" s="11" t="str" cm="1">
        <f t="array" ref="E66">_xlfn.IFS(ISBLANK(F66), "", OR(F66="Jan", F66="Feb", F66="Mar"), "Q1", OR(F66="April", F66="May", F66="June"), "Q2", OR(F66="July", F66="August", F66="September"), "Q3", OR(F66="October", F66="November", F66="December"), "Q4", TRUE, "")</f>
        <v>Q3</v>
      </c>
      <c r="F66" s="11" t="s">
        <v>115</v>
      </c>
      <c r="G66" s="11" t="s">
        <v>95</v>
      </c>
      <c r="H66" s="11" t="s">
        <v>117</v>
      </c>
      <c r="I66" s="11"/>
    </row>
    <row r="67" spans="1:9" ht="18" customHeight="1">
      <c r="A67" s="11" t="s">
        <v>31</v>
      </c>
      <c r="B67" s="11">
        <f>VLOOKUP($A67,contracts!$A$2:$L$100,2,0)</f>
        <v>109001</v>
      </c>
      <c r="C67" s="11" t="str">
        <f>VLOOKUP($A67,contracts!$A$2:$L$100,3,0)</f>
        <v>Europe</v>
      </c>
      <c r="D67" s="11" t="str">
        <f>VLOOKUP($A67,contracts!$A$2:$L$100,4,0)</f>
        <v>Ukraine</v>
      </c>
      <c r="E67" s="11" t="str" cm="1">
        <f t="array" ref="E67">_xlfn.IFS(ISBLANK(F67), "", OR(F67="Jan", F67="Feb", F67="Mar"), "Q1", OR(F67="April", F67="May", F67="June"), "Q2", OR(F67="July", F67="August", F67="September"), "Q3", OR(F67="October", F67="November", F67="December"), "Q4", TRUE, "")</f>
        <v>Q3</v>
      </c>
      <c r="F67" s="11" t="s">
        <v>115</v>
      </c>
      <c r="G67" s="11" t="s">
        <v>100</v>
      </c>
      <c r="H67" s="11" t="s">
        <v>119</v>
      </c>
      <c r="I67" s="11"/>
    </row>
    <row r="68" spans="1:9" ht="18" customHeight="1">
      <c r="A68" s="11" t="s">
        <v>31</v>
      </c>
      <c r="B68" s="11">
        <f>VLOOKUP($A68,contracts!$A$2:$L$100,2,0)</f>
        <v>109001</v>
      </c>
      <c r="C68" s="11" t="str">
        <f>VLOOKUP($A68,contracts!$A$2:$L$100,3,0)</f>
        <v>Europe</v>
      </c>
      <c r="D68" s="11" t="str">
        <f>VLOOKUP($A68,contracts!$A$2:$L$100,4,0)</f>
        <v>Ukraine</v>
      </c>
      <c r="E68" s="11" t="str" cm="1">
        <f t="array" ref="E68">_xlfn.IFS(ISBLANK(F68), "", OR(F68="Jan", F68="Feb", F68="Mar"), "Q1", OR(F68="April", F68="May", F68="June"), "Q2", OR(F68="July", F68="August", F68="September"), "Q3", OR(F68="October", F68="November", F68="December"), "Q4", TRUE, "")</f>
        <v>Q4</v>
      </c>
      <c r="F68" s="11" t="s">
        <v>121</v>
      </c>
      <c r="G68" s="11" t="s">
        <v>98</v>
      </c>
      <c r="H68" s="11" t="s">
        <v>112</v>
      </c>
      <c r="I68" s="11"/>
    </row>
    <row r="69" spans="1:9" ht="18" customHeight="1">
      <c r="A69" s="11" t="s">
        <v>31</v>
      </c>
      <c r="B69" s="11">
        <f>VLOOKUP($A69,contracts!$A$2:$L$100,2,0)</f>
        <v>109001</v>
      </c>
      <c r="C69" s="11" t="str">
        <f>VLOOKUP($A69,contracts!$A$2:$L$100,3,0)</f>
        <v>Europe</v>
      </c>
      <c r="D69" s="11" t="str">
        <f>VLOOKUP($A69,contracts!$A$2:$L$100,4,0)</f>
        <v>Ukraine</v>
      </c>
      <c r="E69" s="11" t="str" cm="1">
        <f t="array" ref="E69">_xlfn.IFS(ISBLANK(F69), "", OR(F69="Jan", F69="Feb", F69="Mar"), "Q1", OR(F69="April", F69="May", F69="June"), "Q2", OR(F69="July", F69="August", F69="September"), "Q3", OR(F69="October", F69="November", F69="December"), "Q4", TRUE, "")</f>
        <v>Q4</v>
      </c>
      <c r="F69" s="11" t="s">
        <v>121</v>
      </c>
      <c r="G69" s="11" t="s">
        <v>94</v>
      </c>
      <c r="H69" s="11" t="s">
        <v>70</v>
      </c>
      <c r="I69" s="11"/>
    </row>
    <row r="70" spans="1:9" ht="18" customHeight="1">
      <c r="A70" s="11" t="s">
        <v>33</v>
      </c>
      <c r="B70" s="11">
        <f>VLOOKUP($A70,contracts!$A$2:$L$100,2,0)</f>
        <v>109002</v>
      </c>
      <c r="C70" s="11" t="str">
        <f>VLOOKUP($A70,contracts!$A$2:$L$100,3,0)</f>
        <v>Europe</v>
      </c>
      <c r="D70" s="11" t="str">
        <f>VLOOKUP($A70,contracts!$A$2:$L$100,4,0)</f>
        <v>Ukraine</v>
      </c>
      <c r="E70" s="11" t="str" cm="1">
        <f t="array" ref="E70">_xlfn.IFS(ISBLANK(F70), "", OR(F70="Jan", F70="Feb", F70="Mar"), "Q1", OR(F70="April", F70="May", F70="June"), "Q2", OR(F70="July", F70="August", F70="September"), "Q3", OR(F70="October", F70="November", F70="December"), "Q4", TRUE, "")</f>
        <v>Q3</v>
      </c>
      <c r="F70" s="11" t="s">
        <v>110</v>
      </c>
      <c r="G70" s="11" t="s">
        <v>94</v>
      </c>
      <c r="H70" s="11" t="s">
        <v>99</v>
      </c>
      <c r="I70" s="11"/>
    </row>
    <row r="71" spans="1:9" ht="18" customHeight="1">
      <c r="A71" s="11" t="s">
        <v>33</v>
      </c>
      <c r="B71" s="11">
        <f>VLOOKUP($A71,contracts!$A$2:$L$100,2,0)</f>
        <v>109002</v>
      </c>
      <c r="C71" s="11" t="str">
        <f>VLOOKUP($A71,contracts!$A$2:$L$100,3,0)</f>
        <v>Europe</v>
      </c>
      <c r="D71" s="11" t="str">
        <f>VLOOKUP($A71,contracts!$A$2:$L$100,4,0)</f>
        <v>Ukraine</v>
      </c>
      <c r="E71" s="11" t="str" cm="1">
        <f t="array" ref="E71">_xlfn.IFS(ISBLANK(F71), "", OR(F71="Jan", F71="Feb", F71="Mar"), "Q1", OR(F71="April", F71="May", F71="June"), "Q2", OR(F71="July", F71="August", F71="September"), "Q3", OR(F71="October", F71="November", F71="December"), "Q4", TRUE, "")</f>
        <v>Q3</v>
      </c>
      <c r="F71" s="11" t="s">
        <v>110</v>
      </c>
      <c r="G71" s="11" t="s">
        <v>100</v>
      </c>
      <c r="H71" s="11" t="s">
        <v>111</v>
      </c>
      <c r="I71" s="11"/>
    </row>
    <row r="72" spans="1:9" ht="18" customHeight="1">
      <c r="A72" s="11" t="s">
        <v>33</v>
      </c>
      <c r="B72" s="11">
        <f>VLOOKUP($A72,contracts!$A$2:$L$100,2,0)</f>
        <v>109002</v>
      </c>
      <c r="C72" s="11" t="str">
        <f>VLOOKUP($A72,contracts!$A$2:$L$100,3,0)</f>
        <v>Europe</v>
      </c>
      <c r="D72" s="11" t="str">
        <f>VLOOKUP($A72,contracts!$A$2:$L$100,4,0)</f>
        <v>Ukraine</v>
      </c>
      <c r="E72" s="11" t="str" cm="1">
        <f t="array" ref="E72">_xlfn.IFS(ISBLANK(F72), "", OR(F72="Jan", F72="Feb", F72="Mar"), "Q1", OR(F72="April", F72="May", F72="June"), "Q2", OR(F72="July", F72="August", F72="September"), "Q3", OR(F72="October", F72="November", F72="December"), "Q4", TRUE, "")</f>
        <v>Q3</v>
      </c>
      <c r="F72" s="11" t="s">
        <v>113</v>
      </c>
      <c r="G72" s="11" t="s">
        <v>100</v>
      </c>
      <c r="H72" s="11" t="s">
        <v>70</v>
      </c>
      <c r="I72" s="11"/>
    </row>
    <row r="73" spans="1:9" ht="18" customHeight="1">
      <c r="A73" s="11" t="s">
        <v>33</v>
      </c>
      <c r="B73" s="11">
        <f>VLOOKUP($A73,contracts!$A$2:$L$100,2,0)</f>
        <v>109002</v>
      </c>
      <c r="C73" s="11" t="str">
        <f>VLOOKUP($A73,contracts!$A$2:$L$100,3,0)</f>
        <v>Europe</v>
      </c>
      <c r="D73" s="11" t="str">
        <f>VLOOKUP($A73,contracts!$A$2:$L$100,4,0)</f>
        <v>Ukraine</v>
      </c>
      <c r="E73" s="11" t="str" cm="1">
        <f t="array" ref="E73">_xlfn.IFS(ISBLANK(F73), "", OR(F73="Jan", F73="Feb", F73="Mar"), "Q1", OR(F73="April", F73="May", F73="June"), "Q2", OR(F73="July", F73="August", F73="September"), "Q3", OR(F73="October", F73="November", F73="December"), "Q4", TRUE, "")</f>
        <v>Q3</v>
      </c>
      <c r="F73" s="11" t="s">
        <v>115</v>
      </c>
      <c r="G73" s="11" t="s">
        <v>100</v>
      </c>
      <c r="H73" s="11" t="s">
        <v>119</v>
      </c>
      <c r="I73" s="11"/>
    </row>
    <row r="74" spans="1:9" ht="18" customHeight="1">
      <c r="A74" s="11" t="s">
        <v>33</v>
      </c>
      <c r="B74" s="11">
        <f>VLOOKUP($A74,contracts!$A$2:$L$100,2,0)</f>
        <v>109002</v>
      </c>
      <c r="C74" s="11" t="str">
        <f>VLOOKUP($A74,contracts!$A$2:$L$100,3,0)</f>
        <v>Europe</v>
      </c>
      <c r="D74" s="11" t="str">
        <f>VLOOKUP($A74,contracts!$A$2:$L$100,4,0)</f>
        <v>Ukraine</v>
      </c>
      <c r="E74" s="11" t="str" cm="1">
        <f t="array" ref="E74">_xlfn.IFS(ISBLANK(F74), "", OR(F74="Jan", F74="Feb", F74="Mar"), "Q1", OR(F74="April", F74="May", F74="June"), "Q2", OR(F74="July", F74="August", F74="September"), "Q3", OR(F74="October", F74="November", F74="December"), "Q4", TRUE, "")</f>
        <v>Q3</v>
      </c>
      <c r="F74" s="11" t="s">
        <v>115</v>
      </c>
      <c r="G74" s="11" t="s">
        <v>106</v>
      </c>
      <c r="H74" s="11" t="s">
        <v>70</v>
      </c>
      <c r="I74" s="11"/>
    </row>
    <row r="75" spans="1:9" ht="18" customHeight="1">
      <c r="A75" s="11" t="s">
        <v>33</v>
      </c>
      <c r="B75" s="11">
        <f>VLOOKUP($A75,contracts!$A$2:$L$100,2,0)</f>
        <v>109002</v>
      </c>
      <c r="C75" s="11" t="str">
        <f>VLOOKUP($A75,contracts!$A$2:$L$100,3,0)</f>
        <v>Europe</v>
      </c>
      <c r="D75" s="11" t="str">
        <f>VLOOKUP($A75,contracts!$A$2:$L$100,4,0)</f>
        <v>Ukraine</v>
      </c>
      <c r="E75" s="11" t="str" cm="1">
        <f t="array" ref="E75">_xlfn.IFS(ISBLANK(F75), "", OR(F75="Jan", F75="Feb", F75="Mar"), "Q1", OR(F75="April", F75="May", F75="June"), "Q2", OR(F75="July", F75="August", F75="September"), "Q3", OR(F75="October", F75="November", F75="December"), "Q4", TRUE, "")</f>
        <v>Q4</v>
      </c>
      <c r="F75" s="11" t="s">
        <v>121</v>
      </c>
      <c r="G75" s="11" t="s">
        <v>98</v>
      </c>
      <c r="H75" s="11" t="s">
        <v>112</v>
      </c>
      <c r="I75" s="11"/>
    </row>
    <row r="76" spans="1:9" ht="18" customHeight="1">
      <c r="A76" s="11" t="s">
        <v>33</v>
      </c>
      <c r="B76" s="11">
        <f>VLOOKUP($A76,contracts!$A$2:$L$100,2,0)</f>
        <v>109002</v>
      </c>
      <c r="C76" s="11" t="str">
        <f>VLOOKUP($A76,contracts!$A$2:$L$100,3,0)</f>
        <v>Europe</v>
      </c>
      <c r="D76" s="11" t="str">
        <f>VLOOKUP($A76,contracts!$A$2:$L$100,4,0)</f>
        <v>Ukraine</v>
      </c>
      <c r="E76" s="11" t="str" cm="1">
        <f t="array" ref="E76">_xlfn.IFS(ISBLANK(F76), "", OR(F76="Jan", F76="Feb", F76="Mar"), "Q1", OR(F76="April", F76="May", F76="June"), "Q2", OR(F76="July", F76="August", F76="September"), "Q3", OR(F76="October", F76="November", F76="December"), "Q4", TRUE, "")</f>
        <v>Q4</v>
      </c>
      <c r="F76" s="11" t="s">
        <v>121</v>
      </c>
      <c r="G76" s="11" t="s">
        <v>94</v>
      </c>
      <c r="H76" s="11" t="s">
        <v>70</v>
      </c>
      <c r="I76" s="11"/>
    </row>
    <row r="77" spans="1:9" ht="18" customHeight="1">
      <c r="A77" s="11" t="s">
        <v>34</v>
      </c>
      <c r="B77" s="11">
        <f>VLOOKUP($A77,contracts!$A$2:$L$100,2,0)</f>
        <v>110001</v>
      </c>
      <c r="C77" s="11" t="str">
        <f>VLOOKUP($A77,contracts!$A$2:$L$100,3,0)</f>
        <v>Europe</v>
      </c>
      <c r="D77" s="11" t="str">
        <f>VLOOKUP($A77,contracts!$A$2:$L$100,4,0)</f>
        <v>Estonia</v>
      </c>
      <c r="E77" s="11" t="str" cm="1">
        <f t="array" ref="E77">_xlfn.IFS(ISBLANK(F77), "", OR(F77="Jan", F77="Feb", F77="Mar"), "Q1", OR(F77="April", F77="May", F77="June"), "Q2", OR(F77="July", F77="August", F77="September"), "Q3", OR(F77="October", F77="November", F77="December"), "Q4", TRUE, "")</f>
        <v>Q3</v>
      </c>
      <c r="F77" s="11" t="s">
        <v>113</v>
      </c>
      <c r="G77" s="11" t="s">
        <v>94</v>
      </c>
      <c r="H77" s="11" t="s">
        <v>99</v>
      </c>
      <c r="I77" s="11"/>
    </row>
    <row r="78" spans="1:9" ht="18" customHeight="1">
      <c r="A78" s="11" t="s">
        <v>34</v>
      </c>
      <c r="B78" s="11">
        <f>VLOOKUP($A78,contracts!$A$2:$L$100,2,0)</f>
        <v>110001</v>
      </c>
      <c r="C78" s="11" t="str">
        <f>VLOOKUP($A78,contracts!$A$2:$L$100,3,0)</f>
        <v>Europe</v>
      </c>
      <c r="D78" s="11" t="str">
        <f>VLOOKUP($A78,contracts!$A$2:$L$100,4,0)</f>
        <v>Estonia</v>
      </c>
      <c r="E78" s="11" t="str" cm="1">
        <f t="array" ref="E78">_xlfn.IFS(ISBLANK(F78), "", OR(F78="Jan", F78="Feb", F78="Mar"), "Q1", OR(F78="April", F78="May", F78="June"), "Q2", OR(F78="July", F78="August", F78="September"), "Q3", OR(F78="October", F78="November", F78="December"), "Q4", TRUE, "")</f>
        <v>Q3</v>
      </c>
      <c r="F78" s="11" t="s">
        <v>113</v>
      </c>
      <c r="G78" s="11" t="s">
        <v>106</v>
      </c>
      <c r="H78" s="11" t="s">
        <v>104</v>
      </c>
      <c r="I78" s="11"/>
    </row>
    <row r="79" spans="1:9" ht="18" customHeight="1">
      <c r="A79" s="11" t="s">
        <v>34</v>
      </c>
      <c r="B79" s="11">
        <f>VLOOKUP($A79,contracts!$A$2:$L$100,2,0)</f>
        <v>110001</v>
      </c>
      <c r="C79" s="11" t="str">
        <f>VLOOKUP($A79,contracts!$A$2:$L$100,3,0)</f>
        <v>Europe</v>
      </c>
      <c r="D79" s="11" t="str">
        <f>VLOOKUP($A79,contracts!$A$2:$L$100,4,0)</f>
        <v>Estonia</v>
      </c>
      <c r="E79" s="11" t="str" cm="1">
        <f t="array" ref="E79">_xlfn.IFS(ISBLANK(F79), "", OR(F79="Jan", F79="Feb", F79="Mar"), "Q1", OR(F79="April", F79="May", F79="June"), "Q2", OR(F79="July", F79="August", F79="September"), "Q3", OR(F79="October", F79="November", F79="December"), "Q4", TRUE, "")</f>
        <v>Q3</v>
      </c>
      <c r="F79" s="11" t="s">
        <v>115</v>
      </c>
      <c r="G79" s="11" t="s">
        <v>95</v>
      </c>
      <c r="H79" s="11" t="s">
        <v>117</v>
      </c>
      <c r="I79" s="11"/>
    </row>
    <row r="80" spans="1:9" ht="18" customHeight="1">
      <c r="A80" s="11" t="s">
        <v>34</v>
      </c>
      <c r="B80" s="11">
        <f>VLOOKUP($A80,contracts!$A$2:$L$100,2,0)</f>
        <v>110001</v>
      </c>
      <c r="C80" s="11" t="str">
        <f>VLOOKUP($A80,contracts!$A$2:$L$100,3,0)</f>
        <v>Europe</v>
      </c>
      <c r="D80" s="11" t="str">
        <f>VLOOKUP($A80,contracts!$A$2:$L$100,4,0)</f>
        <v>Estonia</v>
      </c>
      <c r="E80" s="11" t="str" cm="1">
        <f t="array" ref="E80">_xlfn.IFS(ISBLANK(F80), "", OR(F80="Jan", F80="Feb", F80="Mar"), "Q1", OR(F80="April", F80="May", F80="June"), "Q2", OR(F80="July", F80="August", F80="September"), "Q3", OR(F80="October", F80="November", F80="December"), "Q4", TRUE, "")</f>
        <v>Q4</v>
      </c>
      <c r="F80" s="11" t="s">
        <v>121</v>
      </c>
      <c r="G80" s="11" t="s">
        <v>94</v>
      </c>
      <c r="H80" s="11" t="s">
        <v>70</v>
      </c>
      <c r="I80" s="11"/>
    </row>
    <row r="81" spans="1:9" ht="18" customHeight="1">
      <c r="A81" s="11" t="s">
        <v>34</v>
      </c>
      <c r="B81" s="11">
        <f>VLOOKUP($A81,contracts!$A$2:$L$100,2,0)</f>
        <v>110001</v>
      </c>
      <c r="C81" s="11" t="str">
        <f>VLOOKUP($A81,contracts!$A$2:$L$100,3,0)</f>
        <v>Europe</v>
      </c>
      <c r="D81" s="11" t="str">
        <f>VLOOKUP($A81,contracts!$A$2:$L$100,4,0)</f>
        <v>Estonia</v>
      </c>
      <c r="E81" s="11" t="str" cm="1">
        <f t="array" ref="E81">_xlfn.IFS(ISBLANK(F81), "", OR(F81="Jan", F81="Feb", F81="Mar"), "Q1", OR(F81="April", F81="May", F81="June"), "Q2", OR(F81="July", F81="August", F81="September"), "Q3", OR(F81="October", F81="November", F81="December"), "Q4", TRUE, "")</f>
        <v>Q4</v>
      </c>
      <c r="F81" s="11" t="s">
        <v>126</v>
      </c>
      <c r="G81" s="11" t="s">
        <v>106</v>
      </c>
      <c r="H81" s="11" t="s">
        <v>102</v>
      </c>
      <c r="I81" s="11"/>
    </row>
    <row r="82" spans="1:9" ht="18" customHeight="1">
      <c r="A82" s="11" t="s">
        <v>36</v>
      </c>
      <c r="B82" s="11">
        <f>VLOOKUP($A82,contracts!$A$2:$L$100,2,0)</f>
        <v>111001</v>
      </c>
      <c r="C82" s="11" t="str">
        <f>VLOOKUP($A82,contracts!$A$2:$L$100,3,0)</f>
        <v>Europe</v>
      </c>
      <c r="D82" s="11" t="str">
        <f>VLOOKUP($A82,contracts!$A$2:$L$100,4,0)</f>
        <v>Italy</v>
      </c>
      <c r="E82" s="11" t="str" cm="1">
        <f t="array" ref="E82">_xlfn.IFS(ISBLANK(F82), "", OR(F82="Jan", F82="Feb", F82="Mar"), "Q1", OR(F82="April", F82="May", F82="June"), "Q2", OR(F82="July", F82="August", F82="September"), "Q3", OR(F82="October", F82="November", F82="December"), "Q4", TRUE, "")</f>
        <v>Q1</v>
      </c>
      <c r="F82" s="11" t="s">
        <v>97</v>
      </c>
      <c r="G82" s="11" t="s">
        <v>98</v>
      </c>
      <c r="H82" s="11" t="s">
        <v>99</v>
      </c>
      <c r="I82" s="11"/>
    </row>
    <row r="83" spans="1:9" ht="18" customHeight="1">
      <c r="A83" s="11" t="s">
        <v>36</v>
      </c>
      <c r="B83" s="11">
        <f>VLOOKUP($A83,contracts!$A$2:$L$100,2,0)</f>
        <v>111001</v>
      </c>
      <c r="C83" s="11" t="str">
        <f>VLOOKUP($A83,contracts!$A$2:$L$100,3,0)</f>
        <v>Europe</v>
      </c>
      <c r="D83" s="11" t="str">
        <f>VLOOKUP($A83,contracts!$A$2:$L$100,4,0)</f>
        <v>Italy</v>
      </c>
      <c r="E83" s="11" t="str" cm="1">
        <f t="array" ref="E83">_xlfn.IFS(ISBLANK(F83), "", OR(F83="Jan", F83="Feb", F83="Mar"), "Q1", OR(F83="April", F83="May", F83="June"), "Q2", OR(F83="July", F83="August", F83="September"), "Q3", OR(F83="October", F83="November", F83="December"), "Q4", TRUE, "")</f>
        <v>Q2</v>
      </c>
      <c r="F83" s="11" t="s">
        <v>101</v>
      </c>
      <c r="G83" s="11" t="s">
        <v>94</v>
      </c>
      <c r="H83" s="11" t="s">
        <v>103</v>
      </c>
      <c r="I83" s="11"/>
    </row>
    <row r="84" spans="1:9" ht="18" customHeight="1">
      <c r="A84" s="11" t="s">
        <v>36</v>
      </c>
      <c r="B84" s="11">
        <f>VLOOKUP($A84,contracts!$A$2:$L$100,2,0)</f>
        <v>111001</v>
      </c>
      <c r="C84" s="11" t="str">
        <f>VLOOKUP($A84,contracts!$A$2:$L$100,3,0)</f>
        <v>Europe</v>
      </c>
      <c r="D84" s="11" t="str">
        <f>VLOOKUP($A84,contracts!$A$2:$L$100,4,0)</f>
        <v>Italy</v>
      </c>
      <c r="E84" s="11" t="str" cm="1">
        <f t="array" ref="E84">_xlfn.IFS(ISBLANK(F84), "", OR(F84="Jan", F84="Feb", F84="Mar"), "Q1", OR(F84="April", F84="May", F84="June"), "Q2", OR(F84="July", F84="August", F84="September"), "Q3", OR(F84="October", F84="November", F84="December"), "Q4", TRUE, "")</f>
        <v>Q3</v>
      </c>
      <c r="F84" s="11" t="s">
        <v>110</v>
      </c>
      <c r="G84" s="11" t="s">
        <v>94</v>
      </c>
      <c r="H84" s="11" t="s">
        <v>108</v>
      </c>
      <c r="I84" s="11"/>
    </row>
    <row r="85" spans="1:9" ht="18" customHeight="1">
      <c r="A85" s="11" t="s">
        <v>36</v>
      </c>
      <c r="B85" s="11">
        <f>VLOOKUP($A85,contracts!$A$2:$L$100,2,0)</f>
        <v>111001</v>
      </c>
      <c r="C85" s="11" t="str">
        <f>VLOOKUP($A85,contracts!$A$2:$L$100,3,0)</f>
        <v>Europe</v>
      </c>
      <c r="D85" s="11" t="str">
        <f>VLOOKUP($A85,contracts!$A$2:$L$100,4,0)</f>
        <v>Italy</v>
      </c>
      <c r="E85" s="11" t="str" cm="1">
        <f t="array" ref="E85">_xlfn.IFS(ISBLANK(F85), "", OR(F85="Jan", F85="Feb", F85="Mar"), "Q1", OR(F85="April", F85="May", F85="June"), "Q2", OR(F85="July", F85="August", F85="September"), "Q3", OR(F85="October", F85="November", F85="December"), "Q4", TRUE, "")</f>
        <v>Q3</v>
      </c>
      <c r="F85" s="11" t="s">
        <v>113</v>
      </c>
      <c r="G85" s="11" t="s">
        <v>98</v>
      </c>
      <c r="H85" s="11" t="s">
        <v>112</v>
      </c>
      <c r="I85" s="11"/>
    </row>
    <row r="86" spans="1:9" ht="18" customHeight="1">
      <c r="A86" s="11" t="s">
        <v>36</v>
      </c>
      <c r="B86" s="11">
        <f>VLOOKUP($A86,contracts!$A$2:$L$100,2,0)</f>
        <v>111001</v>
      </c>
      <c r="C86" s="11" t="str">
        <f>VLOOKUP($A86,contracts!$A$2:$L$100,3,0)</f>
        <v>Europe</v>
      </c>
      <c r="D86" s="11" t="str">
        <f>VLOOKUP($A86,contracts!$A$2:$L$100,4,0)</f>
        <v>Italy</v>
      </c>
      <c r="E86" s="11" t="str" cm="1">
        <f t="array" ref="E86">_xlfn.IFS(ISBLANK(F86), "", OR(F86="Jan", F86="Feb", F86="Mar"), "Q1", OR(F86="April", F86="May", F86="June"), "Q2", OR(F86="July", F86="August", F86="September"), "Q3", OR(F86="October", F86="November", F86="December"), "Q4", TRUE, "")</f>
        <v>Q4</v>
      </c>
      <c r="F86" s="11" t="s">
        <v>121</v>
      </c>
      <c r="G86" s="11" t="s">
        <v>94</v>
      </c>
      <c r="H86" s="11" t="s">
        <v>70</v>
      </c>
      <c r="I86" s="11"/>
    </row>
    <row r="87" spans="1:9" ht="18" customHeight="1">
      <c r="A87" s="11" t="s">
        <v>39</v>
      </c>
      <c r="B87" s="11">
        <f>VLOOKUP($A87,contracts!$A$2:$L$100,2,0)</f>
        <v>111002</v>
      </c>
      <c r="C87" s="11" t="str">
        <f>VLOOKUP($A87,contracts!$A$2:$L$100,3,0)</f>
        <v>Europe</v>
      </c>
      <c r="D87" s="11" t="str">
        <f>VLOOKUP($A87,contracts!$A$2:$L$100,4,0)</f>
        <v>Italy</v>
      </c>
      <c r="E87" s="11" t="str" cm="1">
        <f t="array" ref="E87">_xlfn.IFS(ISBLANK(F87), "", OR(F87="Jan", F87="Feb", F87="Mar"), "Q1", OR(F87="April", F87="May", F87="June"), "Q2", OR(F87="July", F87="August", F87="September"), "Q3", OR(F87="October", F87="November", F87="December"), "Q4", TRUE, "")</f>
        <v>Q1</v>
      </c>
      <c r="F87" s="11" t="s">
        <v>97</v>
      </c>
      <c r="G87" s="11" t="s">
        <v>95</v>
      </c>
      <c r="H87" s="11" t="s">
        <v>102</v>
      </c>
      <c r="I87" s="11"/>
    </row>
    <row r="88" spans="1:9" ht="18" customHeight="1">
      <c r="A88" s="11" t="s">
        <v>39</v>
      </c>
      <c r="B88" s="11">
        <f>VLOOKUP($A88,contracts!$A$2:$L$100,2,0)</f>
        <v>111002</v>
      </c>
      <c r="C88" s="11" t="str">
        <f>VLOOKUP($A88,contracts!$A$2:$L$100,3,0)</f>
        <v>Europe</v>
      </c>
      <c r="D88" s="11" t="str">
        <f>VLOOKUP($A88,contracts!$A$2:$L$100,4,0)</f>
        <v>Italy</v>
      </c>
      <c r="E88" s="11" t="str" cm="1">
        <f t="array" ref="E88">_xlfn.IFS(ISBLANK(F88), "", OR(F88="Jan", F88="Feb", F88="Mar"), "Q1", OR(F88="April", F88="May", F88="June"), "Q2", OR(F88="July", F88="August", F88="September"), "Q3", OR(F88="October", F88="November", F88="December"), "Q4", TRUE, "")</f>
        <v>Q3</v>
      </c>
      <c r="F88" s="11" t="s">
        <v>115</v>
      </c>
      <c r="G88" s="11" t="s">
        <v>98</v>
      </c>
      <c r="H88" s="11" t="s">
        <v>99</v>
      </c>
      <c r="I88" s="11"/>
    </row>
    <row r="89" spans="1:9" ht="18" customHeight="1">
      <c r="A89" s="11" t="s">
        <v>39</v>
      </c>
      <c r="B89" s="11">
        <f>VLOOKUP($A89,contracts!$A$2:$L$100,2,0)</f>
        <v>111002</v>
      </c>
      <c r="C89" s="11" t="str">
        <f>VLOOKUP($A89,contracts!$A$2:$L$100,3,0)</f>
        <v>Europe</v>
      </c>
      <c r="D89" s="11" t="str">
        <f>VLOOKUP($A89,contracts!$A$2:$L$100,4,0)</f>
        <v>Italy</v>
      </c>
      <c r="E89" s="11" t="str" cm="1">
        <f t="array" ref="E89">_xlfn.IFS(ISBLANK(F89), "", OR(F89="Jan", F89="Feb", F89="Mar"), "Q1", OR(F89="April", F89="May", F89="June"), "Q2", OR(F89="July", F89="August", F89="September"), "Q3", OR(F89="October", F89="November", F89="December"), "Q4", TRUE, "")</f>
        <v>Q4</v>
      </c>
      <c r="F89" s="11" t="s">
        <v>121</v>
      </c>
      <c r="G89" s="11" t="s">
        <v>106</v>
      </c>
      <c r="H89" s="11" t="s">
        <v>117</v>
      </c>
      <c r="I89" s="11"/>
    </row>
    <row r="90" spans="1:9" ht="18" customHeight="1">
      <c r="A90" s="11" t="s">
        <v>40</v>
      </c>
      <c r="B90" s="11">
        <f>VLOOKUP($A90,contracts!$A$2:$L$100,2,0)</f>
        <v>201001</v>
      </c>
      <c r="C90" s="11" t="str">
        <f>VLOOKUP($A90,contracts!$A$2:$L$100,3,0)</f>
        <v>APAC</v>
      </c>
      <c r="D90" s="11" t="str">
        <f>VLOOKUP($A90,contracts!$A$2:$L$100,4,0)</f>
        <v>Korea</v>
      </c>
      <c r="E90" s="11" t="str" cm="1">
        <f t="array" ref="E90">_xlfn.IFS(ISBLANK(F90), "", OR(F90="Jan", F90="Feb", F90="Mar"), "Q1", OR(F90="April", F90="May", F90="June"), "Q2", OR(F90="July", F90="August", F90="September"), "Q3", OR(F90="October", F90="November", F90="December"), "Q4", TRUE, "")</f>
        <v>Q3</v>
      </c>
      <c r="F90" s="11" t="s">
        <v>115</v>
      </c>
      <c r="G90" s="11" t="s">
        <v>95</v>
      </c>
      <c r="H90" s="11" t="s">
        <v>99</v>
      </c>
      <c r="I90" s="11"/>
    </row>
    <row r="91" spans="1:9" ht="18" customHeight="1">
      <c r="A91" s="11" t="s">
        <v>40</v>
      </c>
      <c r="B91" s="11">
        <f>VLOOKUP($A91,contracts!$A$2:$L$100,2,0)</f>
        <v>201001</v>
      </c>
      <c r="C91" s="11" t="str">
        <f>VLOOKUP($A91,contracts!$A$2:$L$100,3,0)</f>
        <v>APAC</v>
      </c>
      <c r="D91" s="11" t="str">
        <f>VLOOKUP($A91,contracts!$A$2:$L$100,4,0)</f>
        <v>Korea</v>
      </c>
      <c r="E91" s="11" t="str" cm="1">
        <f t="array" ref="E91">_xlfn.IFS(ISBLANK(F91), "", OR(F91="Jan", F91="Feb", F91="Mar"), "Q1", OR(F91="April", F91="May", F91="June"), "Q2", OR(F91="July", F91="August", F91="September"), "Q3", OR(F91="October", F91="November", F91="December"), "Q4", TRUE, "")</f>
        <v>Q3</v>
      </c>
      <c r="F91" s="11" t="s">
        <v>115</v>
      </c>
      <c r="G91" s="11" t="s">
        <v>106</v>
      </c>
      <c r="H91" s="11" t="s">
        <v>112</v>
      </c>
      <c r="I91" s="11"/>
    </row>
    <row r="92" spans="1:9" ht="18" customHeight="1">
      <c r="A92" s="11" t="s">
        <v>43</v>
      </c>
      <c r="B92" s="11">
        <f>VLOOKUP($A92,contracts!$A$2:$L$100,2,0)</f>
        <v>202001</v>
      </c>
      <c r="C92" s="11" t="str">
        <f>VLOOKUP($A92,contracts!$A$2:$L$100,3,0)</f>
        <v>APAC</v>
      </c>
      <c r="D92" s="11" t="str">
        <f>VLOOKUP($A92,contracts!$A$2:$L$100,4,0)</f>
        <v>Mongolia</v>
      </c>
      <c r="E92" s="11" t="str" cm="1">
        <f t="array" ref="E92">_xlfn.IFS(ISBLANK(F92), "", OR(F92="Jan", F92="Feb", F92="Mar"), "Q1", OR(F92="April", F92="May", F92="June"), "Q2", OR(F92="July", F92="August", F92="September"), "Q3", OR(F92="October", F92="November", F92="December"), "Q4", TRUE, "")</f>
        <v>Q2</v>
      </c>
      <c r="F92" s="11" t="s">
        <v>101</v>
      </c>
      <c r="G92" s="11" t="s">
        <v>95</v>
      </c>
      <c r="H92" s="11" t="s">
        <v>99</v>
      </c>
      <c r="I92" s="11"/>
    </row>
    <row r="93" spans="1:9" ht="18" customHeight="1">
      <c r="A93" s="11" t="s">
        <v>43</v>
      </c>
      <c r="B93" s="11">
        <f>VLOOKUP($A93,contracts!$A$2:$L$100,2,0)</f>
        <v>202001</v>
      </c>
      <c r="C93" s="11" t="str">
        <f>VLOOKUP($A93,contracts!$A$2:$L$100,3,0)</f>
        <v>APAC</v>
      </c>
      <c r="D93" s="11" t="str">
        <f>VLOOKUP($A93,contracts!$A$2:$L$100,4,0)</f>
        <v>Mongolia</v>
      </c>
      <c r="E93" s="11" t="str" cm="1">
        <f t="array" ref="E93">_xlfn.IFS(ISBLANK(F93), "", OR(F93="Jan", F93="Feb", F93="Mar"), "Q1", OR(F93="April", F93="May", F93="June"), "Q2", OR(F93="July", F93="August", F93="September"), "Q3", OR(F93="October", F93="November", F93="December"), "Q4", TRUE, "")</f>
        <v>Q2</v>
      </c>
      <c r="F93" s="11" t="s">
        <v>101</v>
      </c>
      <c r="G93" s="11" t="s">
        <v>100</v>
      </c>
      <c r="H93" s="11" t="s">
        <v>104</v>
      </c>
      <c r="I93" s="11"/>
    </row>
    <row r="94" spans="1:9" ht="18" customHeight="1">
      <c r="A94" s="11" t="s">
        <v>43</v>
      </c>
      <c r="B94" s="11">
        <f>VLOOKUP($A94,contracts!$A$2:$L$100,2,0)</f>
        <v>202001</v>
      </c>
      <c r="C94" s="11" t="str">
        <f>VLOOKUP($A94,contracts!$A$2:$L$100,3,0)</f>
        <v>APAC</v>
      </c>
      <c r="D94" s="11" t="str">
        <f>VLOOKUP($A94,contracts!$A$2:$L$100,4,0)</f>
        <v>Mongolia</v>
      </c>
      <c r="E94" s="11" t="str" cm="1">
        <f t="array" ref="E94">_xlfn.IFS(ISBLANK(F94), "", OR(F94="Jan", F94="Feb", F94="Mar"), "Q1", OR(F94="April", F94="May", F94="June"), "Q2", OR(F94="July", F94="August", F94="September"), "Q3", OR(F94="October", F94="November", F94="December"), "Q4", TRUE, "")</f>
        <v>Q4</v>
      </c>
      <c r="F94" s="11" t="s">
        <v>121</v>
      </c>
      <c r="G94" s="11" t="s">
        <v>95</v>
      </c>
      <c r="H94" s="11" t="s">
        <v>70</v>
      </c>
      <c r="I94" s="11"/>
    </row>
    <row r="95" spans="1:9" ht="18" customHeight="1">
      <c r="A95" s="11" t="s">
        <v>45</v>
      </c>
      <c r="B95" s="11">
        <f>VLOOKUP($A95,contracts!$A$2:$L$100,2,0)</f>
        <v>203001</v>
      </c>
      <c r="C95" s="11" t="str">
        <f>VLOOKUP($A95,contracts!$A$2:$L$100,3,0)</f>
        <v>APAC</v>
      </c>
      <c r="D95" s="11" t="str">
        <f>VLOOKUP($A95,contracts!$A$2:$L$100,4,0)</f>
        <v>India</v>
      </c>
      <c r="E95" s="11" t="str" cm="1">
        <f t="array" ref="E95">_xlfn.IFS(ISBLANK(F95), "", OR(F95="Jan", F95="Feb", F95="Mar"), "Q1", OR(F95="April", F95="May", F95="June"), "Q2", OR(F95="July", F95="August", F95="September"), "Q3", OR(F95="October", F95="November", F95="December"), "Q4", TRUE, "")</f>
        <v>Q3</v>
      </c>
      <c r="F95" s="11" t="s">
        <v>115</v>
      </c>
      <c r="G95" s="11" t="s">
        <v>94</v>
      </c>
      <c r="H95" s="11" t="s">
        <v>99</v>
      </c>
      <c r="I95" s="11"/>
    </row>
    <row r="96" spans="1:9" ht="18" customHeight="1">
      <c r="A96" s="11" t="s">
        <v>45</v>
      </c>
      <c r="B96" s="11">
        <f>VLOOKUP($A96,contracts!$A$2:$L$100,2,0)</f>
        <v>203001</v>
      </c>
      <c r="C96" s="11" t="str">
        <f>VLOOKUP($A96,contracts!$A$2:$L$100,3,0)</f>
        <v>APAC</v>
      </c>
      <c r="D96" s="11" t="str">
        <f>VLOOKUP($A96,contracts!$A$2:$L$100,4,0)</f>
        <v>India</v>
      </c>
      <c r="E96" s="11" t="str" cm="1">
        <f t="array" ref="E96">_xlfn.IFS(ISBLANK(F96), "", OR(F96="Jan", F96="Feb", F96="Mar"), "Q1", OR(F96="April", F96="May", F96="June"), "Q2", OR(F96="July", F96="August", F96="September"), "Q3", OR(F96="October", F96="November", F96="December"), "Q4", TRUE, "")</f>
        <v>Q3</v>
      </c>
      <c r="F96" s="11" t="s">
        <v>115</v>
      </c>
      <c r="G96" s="11" t="s">
        <v>95</v>
      </c>
      <c r="H96" s="11" t="s">
        <v>70</v>
      </c>
      <c r="I96" s="11"/>
    </row>
    <row r="97" spans="1:9" ht="18" customHeight="1">
      <c r="A97" s="11" t="s">
        <v>47</v>
      </c>
      <c r="B97" s="11">
        <f>VLOOKUP($A97,contracts!$A$2:$L$100,2,0)</f>
        <v>203002</v>
      </c>
      <c r="C97" s="11" t="str">
        <f>VLOOKUP($A97,contracts!$A$2:$L$100,3,0)</f>
        <v>APAC</v>
      </c>
      <c r="D97" s="11" t="str">
        <f>VLOOKUP($A97,contracts!$A$2:$L$100,4,0)</f>
        <v>India</v>
      </c>
      <c r="E97" s="11" t="str" cm="1">
        <f t="array" ref="E97">_xlfn.IFS(ISBLANK(F97), "", OR(F97="Jan", F97="Feb", F97="Mar"), "Q1", OR(F97="April", F97="May", F97="June"), "Q2", OR(F97="July", F97="August", F97="September"), "Q3", OR(F97="October", F97="November", F97="December"), "Q4", TRUE, "")</f>
        <v>Q2</v>
      </c>
      <c r="F97" s="11" t="s">
        <v>107</v>
      </c>
      <c r="G97" s="11" t="s">
        <v>106</v>
      </c>
      <c r="H97" s="11" t="s">
        <v>70</v>
      </c>
      <c r="I97" s="11"/>
    </row>
    <row r="98" spans="1:9" ht="18" customHeight="1">
      <c r="A98" s="11" t="s">
        <v>47</v>
      </c>
      <c r="B98" s="11">
        <f>VLOOKUP($A98,contracts!$A$2:$L$100,2,0)</f>
        <v>203002</v>
      </c>
      <c r="C98" s="11" t="str">
        <f>VLOOKUP($A98,contracts!$A$2:$L$100,3,0)</f>
        <v>APAC</v>
      </c>
      <c r="D98" s="11" t="str">
        <f>VLOOKUP($A98,contracts!$A$2:$L$100,4,0)</f>
        <v>India</v>
      </c>
      <c r="E98" s="11" t="str" cm="1">
        <f t="array" ref="E98">_xlfn.IFS(ISBLANK(F98), "", OR(F98="Jan", F98="Feb", F98="Mar"), "Q1", OR(F98="April", F98="May", F98="June"), "Q2", OR(F98="July", F98="August", F98="September"), "Q3", OR(F98="October", F98="November", F98="December"), "Q4", TRUE, "")</f>
        <v>Q3</v>
      </c>
      <c r="F98" s="11" t="s">
        <v>110</v>
      </c>
      <c r="G98" s="11" t="s">
        <v>94</v>
      </c>
      <c r="H98" s="11" t="s">
        <v>99</v>
      </c>
      <c r="I98" s="11"/>
    </row>
    <row r="99" spans="1:9" ht="18" customHeight="1">
      <c r="A99" s="11" t="s">
        <v>48</v>
      </c>
      <c r="B99" s="11">
        <f>VLOOKUP($A99,contracts!$A$2:$L$100,2,0)</f>
        <v>204001</v>
      </c>
      <c r="C99" s="11" t="str">
        <f>VLOOKUP($A99,contracts!$A$2:$L$100,3,0)</f>
        <v>APAC</v>
      </c>
      <c r="D99" s="11" t="str">
        <f>VLOOKUP($A99,contracts!$A$2:$L$100,4,0)</f>
        <v>New Zealand</v>
      </c>
      <c r="E99" s="11" t="str" cm="1">
        <f t="array" ref="E99">_xlfn.IFS(ISBLANK(F99), "", OR(F99="Jan", F99="Feb", F99="Mar"), "Q1", OR(F99="April", F99="May", F99="June"), "Q2", OR(F99="July", F99="August", F99="September"), "Q3", OR(F99="October", F99="November", F99="December"), "Q4", TRUE, "")</f>
        <v>Q3</v>
      </c>
      <c r="F99" s="11" t="s">
        <v>113</v>
      </c>
      <c r="G99" s="11" t="s">
        <v>94</v>
      </c>
      <c r="H99" s="11" t="s">
        <v>99</v>
      </c>
      <c r="I99" s="11"/>
    </row>
    <row r="100" spans="1:9" ht="18" customHeight="1">
      <c r="A100" s="11" t="s">
        <v>48</v>
      </c>
      <c r="B100" s="11">
        <f>VLOOKUP($A100,contracts!$A$2:$L$100,2,0)</f>
        <v>204001</v>
      </c>
      <c r="C100" s="11" t="str">
        <f>VLOOKUP($A100,contracts!$A$2:$L$100,3,0)</f>
        <v>APAC</v>
      </c>
      <c r="D100" s="11" t="str">
        <f>VLOOKUP($A100,contracts!$A$2:$L$100,4,0)</f>
        <v>New Zealand</v>
      </c>
      <c r="E100" s="11" t="str" cm="1">
        <f t="array" ref="E100">_xlfn.IFS(ISBLANK(F100), "", OR(F100="Jan", F100="Feb", F100="Mar"), "Q1", OR(F100="April", F100="May", F100="June"), "Q2", OR(F100="July", F100="August", F100="September"), "Q3", OR(F100="October", F100="November", F100="December"), "Q4", TRUE, "")</f>
        <v>Q3</v>
      </c>
      <c r="F100" s="11" t="s">
        <v>113</v>
      </c>
      <c r="G100" s="11" t="s">
        <v>95</v>
      </c>
      <c r="H100" s="11" t="s">
        <v>70</v>
      </c>
      <c r="I100" s="11"/>
    </row>
    <row r="101" spans="1:9" ht="18" customHeight="1">
      <c r="A101" s="11" t="s">
        <v>48</v>
      </c>
      <c r="B101" s="11">
        <f>VLOOKUP($A101,contracts!$A$2:$L$100,2,0)</f>
        <v>204001</v>
      </c>
      <c r="C101" s="11" t="str">
        <f>VLOOKUP($A101,contracts!$A$2:$L$100,3,0)</f>
        <v>APAC</v>
      </c>
      <c r="D101" s="11" t="str">
        <f>VLOOKUP($A101,contracts!$A$2:$L$100,4,0)</f>
        <v>New Zealand</v>
      </c>
      <c r="E101" s="11" t="str" cm="1">
        <f t="array" ref="E101">_xlfn.IFS(ISBLANK(F101), "", OR(F101="Jan", F101="Feb", F101="Mar"), "Q1", OR(F101="April", F101="May", F101="June"), "Q2", OR(F101="July", F101="August", F101="September"), "Q3", OR(F101="October", F101="November", F101="December"), "Q4", TRUE, "")</f>
        <v>Q3</v>
      </c>
      <c r="F101" s="11" t="s">
        <v>115</v>
      </c>
      <c r="G101" s="11" t="s">
        <v>98</v>
      </c>
      <c r="H101" s="11" t="s">
        <v>74</v>
      </c>
      <c r="I101" s="11"/>
    </row>
    <row r="102" spans="1:9" ht="18" customHeight="1">
      <c r="A102" s="11" t="s">
        <v>48</v>
      </c>
      <c r="B102" s="11">
        <f>VLOOKUP($A102,contracts!$A$2:$L$100,2,0)</f>
        <v>204001</v>
      </c>
      <c r="C102" s="11" t="str">
        <f>VLOOKUP($A102,contracts!$A$2:$L$100,3,0)</f>
        <v>APAC</v>
      </c>
      <c r="D102" s="11" t="str">
        <f>VLOOKUP($A102,contracts!$A$2:$L$100,4,0)</f>
        <v>New Zealand</v>
      </c>
      <c r="E102" s="11" t="str" cm="1">
        <f t="array" ref="E102">_xlfn.IFS(ISBLANK(F102), "", OR(F102="Jan", F102="Feb", F102="Mar"), "Q1", OR(F102="April", F102="May", F102="June"), "Q2", OR(F102="July", F102="August", F102="September"), "Q3", OR(F102="October", F102="November", F102="December"), "Q4", TRUE, "")</f>
        <v>Q4</v>
      </c>
      <c r="F102" s="11" t="s">
        <v>121</v>
      </c>
      <c r="G102" s="11" t="s">
        <v>94</v>
      </c>
      <c r="H102" s="11" t="s">
        <v>117</v>
      </c>
      <c r="I102" s="11"/>
    </row>
    <row r="103" spans="1:9" ht="18" customHeight="1">
      <c r="A103" s="11" t="s">
        <v>48</v>
      </c>
      <c r="B103" s="11">
        <f>VLOOKUP($A103,contracts!$A$2:$L$100,2,0)</f>
        <v>204001</v>
      </c>
      <c r="C103" s="11" t="str">
        <f>VLOOKUP($A103,contracts!$A$2:$L$100,3,0)</f>
        <v>APAC</v>
      </c>
      <c r="D103" s="11" t="str">
        <f>VLOOKUP($A103,contracts!$A$2:$L$100,4,0)</f>
        <v>New Zealand</v>
      </c>
      <c r="E103" s="11" t="str" cm="1">
        <f t="array" ref="E103">_xlfn.IFS(ISBLANK(F103), "", OR(F103="Jan", F103="Feb", F103="Mar"), "Q1", OR(F103="April", F103="May", F103="June"), "Q2", OR(F103="July", F103="August", F103="September"), "Q3", OR(F103="October", F103="November", F103="December"), "Q4", TRUE, "")</f>
        <v>Q4</v>
      </c>
      <c r="F103" s="11" t="s">
        <v>121</v>
      </c>
      <c r="G103" s="11" t="s">
        <v>100</v>
      </c>
      <c r="H103" s="11" t="s">
        <v>117</v>
      </c>
      <c r="I103" s="11"/>
    </row>
    <row r="104" spans="1:9" ht="18" customHeight="1">
      <c r="A104" s="11" t="s">
        <v>48</v>
      </c>
      <c r="B104" s="11">
        <f>VLOOKUP($A104,contracts!$A$2:$L$100,2,0)</f>
        <v>204001</v>
      </c>
      <c r="C104" s="11" t="str">
        <f>VLOOKUP($A104,contracts!$A$2:$L$100,3,0)</f>
        <v>APAC</v>
      </c>
      <c r="D104" s="11" t="str">
        <f>VLOOKUP($A104,contracts!$A$2:$L$100,4,0)</f>
        <v>New Zealand</v>
      </c>
      <c r="E104" s="11" t="str" cm="1">
        <f t="array" ref="E104">_xlfn.IFS(ISBLANK(F104), "", OR(F104="Jan", F104="Feb", F104="Mar"), "Q1", OR(F104="April", F104="May", F104="June"), "Q2", OR(F104="July", F104="August", F104="September"), "Q3", OR(F104="October", F104="November", F104="December"), "Q4", TRUE, "")</f>
        <v>Q4</v>
      </c>
      <c r="F104" s="11" t="s">
        <v>125</v>
      </c>
      <c r="G104" s="11" t="s">
        <v>98</v>
      </c>
      <c r="H104" s="11" t="s">
        <v>117</v>
      </c>
      <c r="I104" s="11"/>
    </row>
    <row r="105" spans="1:9" ht="18" customHeight="1">
      <c r="A105" s="11" t="s">
        <v>48</v>
      </c>
      <c r="B105" s="11">
        <f>VLOOKUP($A105,contracts!$A$2:$L$100,2,0)</f>
        <v>204001</v>
      </c>
      <c r="C105" s="11" t="str">
        <f>VLOOKUP($A105,contracts!$A$2:$L$100,3,0)</f>
        <v>APAC</v>
      </c>
      <c r="D105" s="11" t="str">
        <f>VLOOKUP($A105,contracts!$A$2:$L$100,4,0)</f>
        <v>New Zealand</v>
      </c>
      <c r="E105" s="11" t="str" cm="1">
        <f t="array" ref="E105">_xlfn.IFS(ISBLANK(F105), "", OR(F105="Jan", F105="Feb", F105="Mar"), "Q1", OR(F105="April", F105="May", F105="June"), "Q2", OR(F105="July", F105="August", F105="September"), "Q3", OR(F105="October", F105="November", F105="December"), "Q4", TRUE, "")</f>
        <v>Q4</v>
      </c>
      <c r="F105" s="11" t="s">
        <v>125</v>
      </c>
      <c r="G105" s="11" t="s">
        <v>95</v>
      </c>
      <c r="H105" s="11" t="s">
        <v>117</v>
      </c>
      <c r="I105" s="11"/>
    </row>
    <row r="106" spans="1:9" ht="18" customHeight="1">
      <c r="A106" s="11" t="s">
        <v>50</v>
      </c>
      <c r="B106" s="11">
        <f>VLOOKUP($A106,contracts!$A$2:$L$100,2,0)</f>
        <v>205001</v>
      </c>
      <c r="C106" s="11" t="str">
        <f>VLOOKUP($A106,contracts!$A$2:$L$100,3,0)</f>
        <v>APAC</v>
      </c>
      <c r="D106" s="11" t="str">
        <f>VLOOKUP($A106,contracts!$A$2:$L$100,4,0)</f>
        <v>Thailand</v>
      </c>
      <c r="E106" s="11" t="str" cm="1">
        <f t="array" ref="E106">_xlfn.IFS(ISBLANK(F106), "", OR(F106="Jan", F106="Feb", F106="Mar"), "Q1", OR(F106="April", F106="May", F106="June"), "Q2", OR(F106="July", F106="August", F106="September"), "Q3", OR(F106="October", F106="November", F106="December"), "Q4", TRUE, "")</f>
        <v>Q3</v>
      </c>
      <c r="F106" s="11" t="s">
        <v>110</v>
      </c>
      <c r="G106" s="11" t="s">
        <v>94</v>
      </c>
      <c r="H106" s="11" t="s">
        <v>99</v>
      </c>
      <c r="I106" s="11"/>
    </row>
    <row r="107" spans="1:9" ht="18" customHeight="1">
      <c r="A107" s="11" t="s">
        <v>50</v>
      </c>
      <c r="B107" s="11">
        <f>VLOOKUP($A107,contracts!$A$2:$L$100,2,0)</f>
        <v>205001</v>
      </c>
      <c r="C107" s="11" t="str">
        <f>VLOOKUP($A107,contracts!$A$2:$L$100,3,0)</f>
        <v>APAC</v>
      </c>
      <c r="D107" s="11" t="str">
        <f>VLOOKUP($A107,contracts!$A$2:$L$100,4,0)</f>
        <v>Thailand</v>
      </c>
      <c r="E107" s="11" t="str" cm="1">
        <f t="array" ref="E107">_xlfn.IFS(ISBLANK(F107), "", OR(F107="Jan", F107="Feb", F107="Mar"), "Q1", OR(F107="April", F107="May", F107="June"), "Q2", OR(F107="July", F107="August", F107="September"), "Q3", OR(F107="October", F107="November", F107="December"), "Q4", TRUE, "")</f>
        <v>Q3</v>
      </c>
      <c r="F107" s="11" t="s">
        <v>110</v>
      </c>
      <c r="G107" s="11" t="s">
        <v>100</v>
      </c>
      <c r="H107" s="11" t="s">
        <v>111</v>
      </c>
      <c r="I107" s="11"/>
    </row>
    <row r="108" spans="1:9" ht="18" customHeight="1">
      <c r="A108" s="11" t="s">
        <v>50</v>
      </c>
      <c r="B108" s="11">
        <f>VLOOKUP($A108,contracts!$A$2:$L$100,2,0)</f>
        <v>205001</v>
      </c>
      <c r="C108" s="11" t="str">
        <f>VLOOKUP($A108,contracts!$A$2:$L$100,3,0)</f>
        <v>APAC</v>
      </c>
      <c r="D108" s="11" t="str">
        <f>VLOOKUP($A108,contracts!$A$2:$L$100,4,0)</f>
        <v>Thailand</v>
      </c>
      <c r="E108" s="11" t="str" cm="1">
        <f t="array" ref="E108">_xlfn.IFS(ISBLANK(F108), "", OR(F108="Jan", F108="Feb", F108="Mar"), "Q1", OR(F108="April", F108="May", F108="June"), "Q2", OR(F108="July", F108="August", F108="September"), "Q3", OR(F108="October", F108="November", F108="December"), "Q4", TRUE, "")</f>
        <v>Q3</v>
      </c>
      <c r="F108" s="11" t="s">
        <v>113</v>
      </c>
      <c r="G108" s="11" t="s">
        <v>100</v>
      </c>
      <c r="H108" s="11" t="s">
        <v>65</v>
      </c>
      <c r="I108" s="11"/>
    </row>
    <row r="109" spans="1:9" ht="18" customHeight="1">
      <c r="A109" s="11" t="s">
        <v>50</v>
      </c>
      <c r="B109" s="11">
        <f>VLOOKUP($A109,contracts!$A$2:$L$100,2,0)</f>
        <v>205001</v>
      </c>
      <c r="C109" s="11" t="str">
        <f>VLOOKUP($A109,contracts!$A$2:$L$100,3,0)</f>
        <v>APAC</v>
      </c>
      <c r="D109" s="11" t="str">
        <f>VLOOKUP($A109,contracts!$A$2:$L$100,4,0)</f>
        <v>Thailand</v>
      </c>
      <c r="E109" s="11" t="str" cm="1">
        <f t="array" ref="E109">_xlfn.IFS(ISBLANK(F109), "", OR(F109="Jan", F109="Feb", F109="Mar"), "Q1", OR(F109="April", F109="May", F109="June"), "Q2", OR(F109="July", F109="August", F109="September"), "Q3", OR(F109="October", F109="November", F109="December"), "Q4", TRUE, "")</f>
        <v>Q3</v>
      </c>
      <c r="F109" s="11" t="s">
        <v>113</v>
      </c>
      <c r="G109" s="11" t="s">
        <v>106</v>
      </c>
      <c r="H109" s="11" t="s">
        <v>104</v>
      </c>
      <c r="I109" s="11"/>
    </row>
    <row r="110" spans="1:9" ht="18" customHeight="1">
      <c r="A110" s="11" t="s">
        <v>50</v>
      </c>
      <c r="B110" s="11">
        <f>VLOOKUP($A110,contracts!$A$2:$L$100,2,0)</f>
        <v>205001</v>
      </c>
      <c r="C110" s="11" t="str">
        <f>VLOOKUP($A110,contracts!$A$2:$L$100,3,0)</f>
        <v>APAC</v>
      </c>
      <c r="D110" s="11" t="str">
        <f>VLOOKUP($A110,contracts!$A$2:$L$100,4,0)</f>
        <v>Thailand</v>
      </c>
      <c r="E110" s="11" t="str" cm="1">
        <f t="array" ref="E110">_xlfn.IFS(ISBLANK(F110), "", OR(F110="Jan", F110="Feb", F110="Mar"), "Q1", OR(F110="April", F110="May", F110="June"), "Q2", OR(F110="July", F110="August", F110="September"), "Q3", OR(F110="October", F110="November", F110="December"), "Q4", TRUE, "")</f>
        <v>Q3</v>
      </c>
      <c r="F110" s="11" t="s">
        <v>115</v>
      </c>
      <c r="G110" s="11" t="s">
        <v>100</v>
      </c>
      <c r="H110" s="11" t="s">
        <v>70</v>
      </c>
      <c r="I110" s="11"/>
    </row>
    <row r="111" spans="1:9" ht="18" customHeight="1">
      <c r="A111" s="11" t="s">
        <v>114</v>
      </c>
      <c r="B111" s="11">
        <f>VLOOKUP($A111,contracts!$A$2:$L$100,2,0)</f>
        <v>206001</v>
      </c>
      <c r="C111" s="11" t="str">
        <f>VLOOKUP($A111,contracts!$A$2:$L$100,3,0)</f>
        <v>APAC</v>
      </c>
      <c r="D111" s="11" t="str">
        <f>VLOOKUP($A111,contracts!$A$2:$L$100,4,0)</f>
        <v>Uzbekistan</v>
      </c>
      <c r="E111" s="11" t="str" cm="1">
        <f t="array" ref="E111">_xlfn.IFS(ISBLANK(F111), "", OR(F111="Jan", F111="Feb", F111="Mar"), "Q1", OR(F111="April", F111="May", F111="June"), "Q2", OR(F111="July", F111="August", F111="September"), "Q3", OR(F111="October", F111="November", F111="December"), "Q4", TRUE, "")</f>
        <v>Q3</v>
      </c>
      <c r="F111" s="11" t="s">
        <v>113</v>
      </c>
      <c r="G111" s="11" t="s">
        <v>95</v>
      </c>
      <c r="H111" s="11" t="s">
        <v>99</v>
      </c>
      <c r="I111" s="11"/>
    </row>
    <row r="112" spans="1:9" ht="18" customHeight="1">
      <c r="A112" s="11" t="s">
        <v>114</v>
      </c>
      <c r="B112" s="11">
        <f>VLOOKUP($A112,contracts!$A$2:$L$100,2,0)</f>
        <v>206001</v>
      </c>
      <c r="C112" s="11" t="str">
        <f>VLOOKUP($A112,contracts!$A$2:$L$100,3,0)</f>
        <v>APAC</v>
      </c>
      <c r="D112" s="11" t="str">
        <f>VLOOKUP($A112,contracts!$A$2:$L$100,4,0)</f>
        <v>Uzbekistan</v>
      </c>
      <c r="E112" s="11" t="str" cm="1">
        <f t="array" ref="E112">_xlfn.IFS(ISBLANK(F112), "", OR(F112="Jan", F112="Feb", F112="Mar"), "Q1", OR(F112="April", F112="May", F112="June"), "Q2", OR(F112="July", F112="August", F112="September"), "Q3", OR(F112="October", F112="November", F112="December"), "Q4", TRUE, "")</f>
        <v>Q4</v>
      </c>
      <c r="F112" s="11" t="s">
        <v>121</v>
      </c>
      <c r="G112" s="11" t="s">
        <v>98</v>
      </c>
      <c r="H112" s="11" t="s">
        <v>104</v>
      </c>
      <c r="I112" s="11"/>
    </row>
    <row r="113" spans="1:9" ht="18" customHeight="1">
      <c r="A113" s="11" t="s">
        <v>114</v>
      </c>
      <c r="B113" s="11">
        <f>VLOOKUP($A113,contracts!$A$2:$L$100,2,0)</f>
        <v>206001</v>
      </c>
      <c r="C113" s="11" t="str">
        <f>VLOOKUP($A113,contracts!$A$2:$L$100,3,0)</f>
        <v>APAC</v>
      </c>
      <c r="D113" s="11" t="str">
        <f>VLOOKUP($A113,contracts!$A$2:$L$100,4,0)</f>
        <v>Uzbekistan</v>
      </c>
      <c r="E113" s="11" t="str" cm="1">
        <f t="array" ref="E113">_xlfn.IFS(ISBLANK(F113), "", OR(F113="Jan", F113="Feb", F113="Mar"), "Q1", OR(F113="April", F113="May", F113="June"), "Q2", OR(F113="July", F113="August", F113="September"), "Q3", OR(F113="October", F113="November", F113="December"), "Q4", TRUE, "")</f>
        <v>Q4</v>
      </c>
      <c r="F113" s="11" t="s">
        <v>121</v>
      </c>
      <c r="G113" s="11" t="s">
        <v>94</v>
      </c>
      <c r="H113" s="11" t="s">
        <v>117</v>
      </c>
      <c r="I113" s="11"/>
    </row>
    <row r="114" spans="1:9" ht="18" customHeight="1">
      <c r="A114" s="11" t="s">
        <v>52</v>
      </c>
      <c r="B114" s="11">
        <f>VLOOKUP($A114,contracts!$A$2:$L$100,2,0)</f>
        <v>301001</v>
      </c>
      <c r="C114" s="11" t="str">
        <f>VLOOKUP($A114,contracts!$A$2:$L$100,3,0)</f>
        <v>MEA</v>
      </c>
      <c r="D114" s="11" t="str">
        <f>VLOOKUP($A114,contracts!$A$2:$L$100,4,0)</f>
        <v>Egypt</v>
      </c>
      <c r="E114" s="11" t="str" cm="1">
        <f t="array" ref="E114">_xlfn.IFS(ISBLANK(F114), "", OR(F114="Jan", F114="Feb", F114="Mar"), "Q1", OR(F114="April", F114="May", F114="June"), "Q2", OR(F114="July", F114="August", F114="September"), "Q3", OR(F114="October", F114="November", F114="December"), "Q4", TRUE, "")</f>
        <v>Q2</v>
      </c>
      <c r="F114" s="11" t="s">
        <v>101</v>
      </c>
      <c r="G114" s="11" t="s">
        <v>95</v>
      </c>
      <c r="H114" s="11" t="s">
        <v>99</v>
      </c>
      <c r="I114" s="11"/>
    </row>
    <row r="115" spans="1:9" ht="18" customHeight="1">
      <c r="A115" s="11" t="s">
        <v>52</v>
      </c>
      <c r="B115" s="11">
        <f>VLOOKUP($A115,contracts!$A$2:$L$100,2,0)</f>
        <v>301001</v>
      </c>
      <c r="C115" s="11" t="str">
        <f>VLOOKUP($A115,contracts!$A$2:$L$100,3,0)</f>
        <v>MEA</v>
      </c>
      <c r="D115" s="11" t="str">
        <f>VLOOKUP($A115,contracts!$A$2:$L$100,4,0)</f>
        <v>Egypt</v>
      </c>
      <c r="E115" s="11" t="str" cm="1">
        <f t="array" ref="E115">_xlfn.IFS(ISBLANK(F115), "", OR(F115="Jan", F115="Feb", F115="Mar"), "Q1", OR(F115="April", F115="May", F115="June"), "Q2", OR(F115="July", F115="August", F115="September"), "Q3", OR(F115="October", F115="November", F115="December"), "Q4", TRUE, "")</f>
        <v>Q2</v>
      </c>
      <c r="F115" s="11" t="s">
        <v>101</v>
      </c>
      <c r="G115" s="11" t="s">
        <v>100</v>
      </c>
      <c r="H115" s="11" t="s">
        <v>70</v>
      </c>
      <c r="I115" s="11"/>
    </row>
    <row r="116" spans="1:9" ht="18" customHeight="1">
      <c r="A116" s="11" t="s">
        <v>52</v>
      </c>
      <c r="B116" s="11">
        <f>VLOOKUP($A116,contracts!$A$2:$L$100,2,0)</f>
        <v>301001</v>
      </c>
      <c r="C116" s="11" t="str">
        <f>VLOOKUP($A116,contracts!$A$2:$L$100,3,0)</f>
        <v>MEA</v>
      </c>
      <c r="D116" s="11" t="str">
        <f>VLOOKUP($A116,contracts!$A$2:$L$100,4,0)</f>
        <v>Egypt</v>
      </c>
      <c r="E116" s="11" t="str" cm="1">
        <f t="array" ref="E116">_xlfn.IFS(ISBLANK(F116), "", OR(F116="Jan", F116="Feb", F116="Mar"), "Q1", OR(F116="April", F116="May", F116="June"), "Q2", OR(F116="July", F116="August", F116="September"), "Q3", OR(F116="October", F116="November", F116="December"), "Q4", TRUE, "")</f>
        <v>Q2</v>
      </c>
      <c r="F116" s="11" t="s">
        <v>101</v>
      </c>
      <c r="G116" s="11" t="s">
        <v>106</v>
      </c>
      <c r="H116" s="11" t="s">
        <v>104</v>
      </c>
      <c r="I116" s="11"/>
    </row>
    <row r="117" spans="1:9" ht="18" customHeight="1">
      <c r="A117" s="11" t="s">
        <v>52</v>
      </c>
      <c r="B117" s="11">
        <f>VLOOKUP($A117,contracts!$A$2:$L$100,2,0)</f>
        <v>301001</v>
      </c>
      <c r="C117" s="11" t="str">
        <f>VLOOKUP($A117,contracts!$A$2:$L$100,3,0)</f>
        <v>MEA</v>
      </c>
      <c r="D117" s="11" t="str">
        <f>VLOOKUP($A117,contracts!$A$2:$L$100,4,0)</f>
        <v>Egypt</v>
      </c>
      <c r="E117" s="11" t="str" cm="1">
        <f t="array" ref="E117">_xlfn.IFS(ISBLANK(F117), "", OR(F117="Jan", F117="Feb", F117="Mar"), "Q1", OR(F117="April", F117="May", F117="June"), "Q2", OR(F117="July", F117="August", F117="September"), "Q3", OR(F117="October", F117="November", F117="December"), "Q4", TRUE, "")</f>
        <v>Q2</v>
      </c>
      <c r="F117" s="11" t="s">
        <v>107</v>
      </c>
      <c r="G117" s="11" t="s">
        <v>106</v>
      </c>
      <c r="H117" s="11" t="s">
        <v>70</v>
      </c>
      <c r="I117" s="11"/>
    </row>
    <row r="118" spans="1:9" ht="18" customHeight="1">
      <c r="A118" s="11" t="s">
        <v>52</v>
      </c>
      <c r="B118" s="11">
        <f>VLOOKUP($A118,contracts!$A$2:$L$100,2,0)</f>
        <v>301001</v>
      </c>
      <c r="C118" s="11" t="str">
        <f>VLOOKUP($A118,contracts!$A$2:$L$100,3,0)</f>
        <v>MEA</v>
      </c>
      <c r="D118" s="11" t="str">
        <f>VLOOKUP($A118,contracts!$A$2:$L$100,4,0)</f>
        <v>Egypt</v>
      </c>
      <c r="E118" s="11" t="str" cm="1">
        <f t="array" ref="E118">_xlfn.IFS(ISBLANK(F118), "", OR(F118="Jan", F118="Feb", F118="Mar"), "Q1", OR(F118="April", F118="May", F118="June"), "Q2", OR(F118="July", F118="August", F118="September"), "Q3", OR(F118="October", F118="November", F118="December"), "Q4", TRUE, "")</f>
        <v>Q3</v>
      </c>
      <c r="F118" s="11" t="s">
        <v>113</v>
      </c>
      <c r="G118" s="11" t="s">
        <v>94</v>
      </c>
      <c r="H118" s="11" t="s">
        <v>70</v>
      </c>
      <c r="I118" s="11"/>
    </row>
    <row r="119" spans="1:9" ht="18" customHeight="1">
      <c r="A119" s="11" t="s">
        <v>52</v>
      </c>
      <c r="B119" s="11">
        <f>VLOOKUP($A119,contracts!$A$2:$L$100,2,0)</f>
        <v>301001</v>
      </c>
      <c r="C119" s="11" t="str">
        <f>VLOOKUP($A119,contracts!$A$2:$L$100,3,0)</f>
        <v>MEA</v>
      </c>
      <c r="D119" s="11" t="str">
        <f>VLOOKUP($A119,contracts!$A$2:$L$100,4,0)</f>
        <v>Egypt</v>
      </c>
      <c r="E119" s="11" t="str" cm="1">
        <f t="array" ref="E119">_xlfn.IFS(ISBLANK(F119), "", OR(F119="Jan", F119="Feb", F119="Mar"), "Q1", OR(F119="April", F119="May", F119="June"), "Q2", OR(F119="July", F119="August", F119="September"), "Q3", OR(F119="October", F119="November", F119="December"), "Q4", TRUE, "")</f>
        <v>Q3</v>
      </c>
      <c r="F119" s="11" t="s">
        <v>113</v>
      </c>
      <c r="G119" s="11" t="s">
        <v>95</v>
      </c>
      <c r="H119" s="11" t="s">
        <v>90</v>
      </c>
      <c r="I119" s="11"/>
    </row>
    <row r="120" spans="1:9" ht="18" customHeight="1">
      <c r="A120" s="11" t="s">
        <v>52</v>
      </c>
      <c r="B120" s="11">
        <f>VLOOKUP($A120,contracts!$A$2:$L$100,2,0)</f>
        <v>301001</v>
      </c>
      <c r="C120" s="11" t="str">
        <f>VLOOKUP($A120,contracts!$A$2:$L$100,3,0)</f>
        <v>MEA</v>
      </c>
      <c r="D120" s="11" t="str">
        <f>VLOOKUP($A120,contracts!$A$2:$L$100,4,0)</f>
        <v>Egypt</v>
      </c>
      <c r="E120" s="11" t="str" cm="1">
        <f t="array" ref="E120">_xlfn.IFS(ISBLANK(F120), "", OR(F120="Jan", F120="Feb", F120="Mar"), "Q1", OR(F120="April", F120="May", F120="June"), "Q2", OR(F120="July", F120="August", F120="September"), "Q3", OR(F120="October", F120="November", F120="December"), "Q4", TRUE, "")</f>
        <v>Q4</v>
      </c>
      <c r="F120" s="11" t="s">
        <v>126</v>
      </c>
      <c r="G120" s="11" t="s">
        <v>106</v>
      </c>
      <c r="H120" s="11" t="s">
        <v>102</v>
      </c>
      <c r="I120" s="11"/>
    </row>
    <row r="121" spans="1:9" ht="18" customHeight="1">
      <c r="A121" s="11" t="s">
        <v>55</v>
      </c>
      <c r="B121" s="11">
        <f>VLOOKUP($A121,contracts!$A$2:$L$100,2,0)</f>
        <v>301002</v>
      </c>
      <c r="C121" s="11" t="str">
        <f>VLOOKUP($A121,contracts!$A$2:$L$100,3,0)</f>
        <v>MEA</v>
      </c>
      <c r="D121" s="11" t="str">
        <f>VLOOKUP($A121,contracts!$A$2:$L$100,4,0)</f>
        <v>Egypt</v>
      </c>
      <c r="E121" s="11" t="str" cm="1">
        <f t="array" ref="E121">_xlfn.IFS(ISBLANK(F121), "", OR(F121="Jan", F121="Feb", F121="Mar"), "Q1", OR(F121="April", F121="May", F121="June"), "Q2", OR(F121="July", F121="August", F121="September"), "Q3", OR(F121="October", F121="November", F121="December"), "Q4", TRUE, "")</f>
        <v>Q2</v>
      </c>
      <c r="F121" s="11" t="s">
        <v>101</v>
      </c>
      <c r="G121" s="11" t="s">
        <v>95</v>
      </c>
      <c r="H121" s="11" t="s">
        <v>99</v>
      </c>
      <c r="I121" s="11"/>
    </row>
    <row r="122" spans="1:9" ht="18" customHeight="1">
      <c r="A122" s="11" t="s">
        <v>55</v>
      </c>
      <c r="B122" s="11">
        <f>VLOOKUP($A122,contracts!$A$2:$L$100,2,0)</f>
        <v>301002</v>
      </c>
      <c r="C122" s="11" t="str">
        <f>VLOOKUP($A122,contracts!$A$2:$L$100,3,0)</f>
        <v>MEA</v>
      </c>
      <c r="D122" s="11" t="str">
        <f>VLOOKUP($A122,contracts!$A$2:$L$100,4,0)</f>
        <v>Egypt</v>
      </c>
      <c r="E122" s="11" t="str" cm="1">
        <f t="array" ref="E122">_xlfn.IFS(ISBLANK(F122), "", OR(F122="Jan", F122="Feb", F122="Mar"), "Q1", OR(F122="April", F122="May", F122="June"), "Q2", OR(F122="July", F122="August", F122="September"), "Q3", OR(F122="October", F122="November", F122="December"), "Q4", TRUE, "")</f>
        <v>Q2</v>
      </c>
      <c r="F122" s="11" t="s">
        <v>101</v>
      </c>
      <c r="G122" s="11" t="s">
        <v>100</v>
      </c>
      <c r="H122" s="11" t="s">
        <v>70</v>
      </c>
      <c r="I122" s="11"/>
    </row>
    <row r="123" spans="1:9" ht="18" customHeight="1">
      <c r="A123" s="11" t="s">
        <v>55</v>
      </c>
      <c r="B123" s="11">
        <f>VLOOKUP($A123,contracts!$A$2:$L$100,2,0)</f>
        <v>301002</v>
      </c>
      <c r="C123" s="11" t="str">
        <f>VLOOKUP($A123,contracts!$A$2:$L$100,3,0)</f>
        <v>MEA</v>
      </c>
      <c r="D123" s="11" t="str">
        <f>VLOOKUP($A123,contracts!$A$2:$L$100,4,0)</f>
        <v>Egypt</v>
      </c>
      <c r="E123" s="11" t="str" cm="1">
        <f t="array" ref="E123">_xlfn.IFS(ISBLANK(F123), "", OR(F123="Jan", F123="Feb", F123="Mar"), "Q1", OR(F123="April", F123="May", F123="June"), "Q2", OR(F123="July", F123="August", F123="September"), "Q3", OR(F123="October", F123="November", F123="December"), "Q4", TRUE, "")</f>
        <v>Q2</v>
      </c>
      <c r="F123" s="11" t="s">
        <v>101</v>
      </c>
      <c r="G123" s="11" t="s">
        <v>106</v>
      </c>
      <c r="H123" s="11" t="s">
        <v>104</v>
      </c>
      <c r="I123" s="11"/>
    </row>
    <row r="124" spans="1:9" ht="18" customHeight="1">
      <c r="A124" s="11" t="s">
        <v>55</v>
      </c>
      <c r="B124" s="11">
        <f>VLOOKUP($A124,contracts!$A$2:$L$100,2,0)</f>
        <v>301002</v>
      </c>
      <c r="C124" s="11" t="str">
        <f>VLOOKUP($A124,contracts!$A$2:$L$100,3,0)</f>
        <v>MEA</v>
      </c>
      <c r="D124" s="11" t="str">
        <f>VLOOKUP($A124,contracts!$A$2:$L$100,4,0)</f>
        <v>Egypt</v>
      </c>
      <c r="E124" s="11" t="str" cm="1">
        <f t="array" ref="E124">_xlfn.IFS(ISBLANK(F124), "", OR(F124="Jan", F124="Feb", F124="Mar"), "Q1", OR(F124="April", F124="May", F124="June"), "Q2", OR(F124="July", F124="August", F124="September"), "Q3", OR(F124="October", F124="November", F124="December"), "Q4", TRUE, "")</f>
        <v>Q3</v>
      </c>
      <c r="F124" s="11" t="s">
        <v>113</v>
      </c>
      <c r="G124" s="11" t="s">
        <v>94</v>
      </c>
      <c r="H124" s="11" t="s">
        <v>70</v>
      </c>
      <c r="I124" s="11"/>
    </row>
    <row r="125" spans="1:9" ht="18" customHeight="1">
      <c r="A125" s="11" t="s">
        <v>55</v>
      </c>
      <c r="B125" s="11">
        <f>VLOOKUP($A125,contracts!$A$2:$L$100,2,0)</f>
        <v>301002</v>
      </c>
      <c r="C125" s="11" t="str">
        <f>VLOOKUP($A125,contracts!$A$2:$L$100,3,0)</f>
        <v>MEA</v>
      </c>
      <c r="D125" s="11" t="str">
        <f>VLOOKUP($A125,contracts!$A$2:$L$100,4,0)</f>
        <v>Egypt</v>
      </c>
      <c r="E125" s="11" t="str" cm="1">
        <f t="array" ref="E125">_xlfn.IFS(ISBLANK(F125), "", OR(F125="Jan", F125="Feb", F125="Mar"), "Q1", OR(F125="April", F125="May", F125="June"), "Q2", OR(F125="July", F125="August", F125="September"), "Q3", OR(F125="October", F125="November", F125="December"), "Q4", TRUE, "")</f>
        <v>Q3</v>
      </c>
      <c r="F125" s="11" t="s">
        <v>113</v>
      </c>
      <c r="G125" s="11" t="s">
        <v>95</v>
      </c>
      <c r="H125" s="11" t="s">
        <v>90</v>
      </c>
      <c r="I125" s="11"/>
    </row>
    <row r="126" spans="1:9" ht="18" customHeight="1">
      <c r="A126" s="11" t="s">
        <v>55</v>
      </c>
      <c r="B126" s="11">
        <f>VLOOKUP($A126,contracts!$A$2:$L$100,2,0)</f>
        <v>301002</v>
      </c>
      <c r="C126" s="11" t="str">
        <f>VLOOKUP($A126,contracts!$A$2:$L$100,3,0)</f>
        <v>MEA</v>
      </c>
      <c r="D126" s="11" t="str">
        <f>VLOOKUP($A126,contracts!$A$2:$L$100,4,0)</f>
        <v>Egypt</v>
      </c>
      <c r="E126" s="11" t="str" cm="1">
        <f t="array" ref="E126">_xlfn.IFS(ISBLANK(F126), "", OR(F126="Jan", F126="Feb", F126="Mar"), "Q1", OR(F126="April", F126="May", F126="June"), "Q2", OR(F126="July", F126="August", F126="September"), "Q3", OR(F126="October", F126="November", F126="December"), "Q4", TRUE, "")</f>
        <v>Q4</v>
      </c>
      <c r="F126" s="11" t="s">
        <v>121</v>
      </c>
      <c r="G126" s="11" t="s">
        <v>95</v>
      </c>
      <c r="H126" s="11" t="s">
        <v>108</v>
      </c>
      <c r="I126" s="11"/>
    </row>
    <row r="127" spans="1:9" ht="18" customHeight="1">
      <c r="A127" s="11" t="s">
        <v>55</v>
      </c>
      <c r="B127" s="11">
        <f>VLOOKUP($A127,contracts!$A$2:$L$100,2,0)</f>
        <v>301002</v>
      </c>
      <c r="C127" s="11" t="str">
        <f>VLOOKUP($A127,contracts!$A$2:$L$100,3,0)</f>
        <v>MEA</v>
      </c>
      <c r="D127" s="11" t="str">
        <f>VLOOKUP($A127,contracts!$A$2:$L$100,4,0)</f>
        <v>Egypt</v>
      </c>
      <c r="E127" s="11" t="str" cm="1">
        <f t="array" ref="E127">_xlfn.IFS(ISBLANK(F127), "", OR(F127="Jan", F127="Feb", F127="Mar"), "Q1", OR(F127="April", F127="May", F127="June"), "Q2", OR(F127="July", F127="August", F127="September"), "Q3", OR(F127="October", F127="November", F127="December"), "Q4", TRUE, "")</f>
        <v>Q4</v>
      </c>
      <c r="F127" s="11" t="s">
        <v>121</v>
      </c>
      <c r="G127" s="11" t="s">
        <v>100</v>
      </c>
      <c r="H127" s="11" t="s">
        <v>70</v>
      </c>
      <c r="I127" s="11"/>
    </row>
    <row r="128" spans="1:9" ht="18" customHeight="1">
      <c r="A128" s="11" t="s">
        <v>105</v>
      </c>
      <c r="B128" s="11">
        <f>VLOOKUP($A128,contracts!$A$2:$L$100,2,0)</f>
        <v>301003</v>
      </c>
      <c r="C128" s="11" t="str">
        <f>VLOOKUP($A128,contracts!$A$2:$L$100,3,0)</f>
        <v>MEA</v>
      </c>
      <c r="D128" s="11" t="str">
        <f>VLOOKUP($A128,contracts!$A$2:$L$100,4,0)</f>
        <v>Egypt</v>
      </c>
      <c r="E128" s="11" t="str" cm="1">
        <f t="array" ref="E128">_xlfn.IFS(ISBLANK(F128), "", OR(F128="Jan", F128="Feb", F128="Mar"), "Q1", OR(F128="April", F128="May", F128="June"), "Q2", OR(F128="July", F128="August", F128="September"), "Q3", OR(F128="October", F128="November", F128="December"), "Q4", TRUE, "")</f>
        <v>Q2</v>
      </c>
      <c r="F128" s="11" t="s">
        <v>101</v>
      </c>
      <c r="G128" s="11" t="s">
        <v>95</v>
      </c>
      <c r="H128" s="11" t="s">
        <v>99</v>
      </c>
      <c r="I128" s="11"/>
    </row>
    <row r="129" spans="1:9" ht="18" customHeight="1">
      <c r="A129" s="11" t="s">
        <v>105</v>
      </c>
      <c r="B129" s="11">
        <f>VLOOKUP($A129,contracts!$A$2:$L$100,2,0)</f>
        <v>301003</v>
      </c>
      <c r="C129" s="11" t="str">
        <f>VLOOKUP($A129,contracts!$A$2:$L$100,3,0)</f>
        <v>MEA</v>
      </c>
      <c r="D129" s="11" t="str">
        <f>VLOOKUP($A129,contracts!$A$2:$L$100,4,0)</f>
        <v>Egypt</v>
      </c>
      <c r="E129" s="11" t="str" cm="1">
        <f t="array" ref="E129">_xlfn.IFS(ISBLANK(F129), "", OR(F129="Jan", F129="Feb", F129="Mar"), "Q1", OR(F129="April", F129="May", F129="June"), "Q2", OR(F129="July", F129="August", F129="September"), "Q3", OR(F129="October", F129="November", F129="December"), "Q4", TRUE, "")</f>
        <v>Q2</v>
      </c>
      <c r="F129" s="11" t="s">
        <v>101</v>
      </c>
      <c r="G129" s="11" t="s">
        <v>100</v>
      </c>
      <c r="H129" s="11" t="s">
        <v>70</v>
      </c>
      <c r="I129" s="11"/>
    </row>
    <row r="130" spans="1:9" ht="18" customHeight="1">
      <c r="A130" s="11" t="s">
        <v>105</v>
      </c>
      <c r="B130" s="11">
        <f>VLOOKUP($A130,contracts!$A$2:$L$100,2,0)</f>
        <v>301003</v>
      </c>
      <c r="C130" s="11" t="str">
        <f>VLOOKUP($A130,contracts!$A$2:$L$100,3,0)</f>
        <v>MEA</v>
      </c>
      <c r="D130" s="11" t="str">
        <f>VLOOKUP($A130,contracts!$A$2:$L$100,4,0)</f>
        <v>Egypt</v>
      </c>
      <c r="E130" s="11" t="str" cm="1">
        <f t="array" ref="E130">_xlfn.IFS(ISBLANK(F130), "", OR(F130="Jan", F130="Feb", F130="Mar"), "Q1", OR(F130="April", F130="May", F130="June"), "Q2", OR(F130="July", F130="August", F130="September"), "Q3", OR(F130="October", F130="November", F130="December"), "Q4", TRUE, "")</f>
        <v>Q2</v>
      </c>
      <c r="F130" s="11" t="s">
        <v>101</v>
      </c>
      <c r="G130" s="11" t="s">
        <v>106</v>
      </c>
      <c r="H130" s="11" t="s">
        <v>104</v>
      </c>
      <c r="I130" s="11"/>
    </row>
    <row r="131" spans="1:9" ht="18" customHeight="1">
      <c r="A131" s="11" t="s">
        <v>105</v>
      </c>
      <c r="B131" s="11">
        <f>VLOOKUP($A131,contracts!$A$2:$L$100,2,0)</f>
        <v>301003</v>
      </c>
      <c r="C131" s="11" t="str">
        <f>VLOOKUP($A131,contracts!$A$2:$L$100,3,0)</f>
        <v>MEA</v>
      </c>
      <c r="D131" s="11" t="str">
        <f>VLOOKUP($A131,contracts!$A$2:$L$100,4,0)</f>
        <v>Egypt</v>
      </c>
      <c r="E131" s="11" t="str" cm="1">
        <f t="array" ref="E131">_xlfn.IFS(ISBLANK(F131), "", OR(F131="Jan", F131="Feb", F131="Mar"), "Q1", OR(F131="April", F131="May", F131="June"), "Q2", OR(F131="July", F131="August", F131="September"), "Q3", OR(F131="October", F131="November", F131="December"), "Q4", TRUE, "")</f>
        <v>Q2</v>
      </c>
      <c r="F131" s="11" t="s">
        <v>107</v>
      </c>
      <c r="G131" s="11" t="s">
        <v>106</v>
      </c>
      <c r="H131" s="11" t="s">
        <v>108</v>
      </c>
      <c r="I131" s="11"/>
    </row>
    <row r="132" spans="1:9" ht="18" customHeight="1">
      <c r="A132" s="11" t="s">
        <v>105</v>
      </c>
      <c r="B132" s="11">
        <f>VLOOKUP($A132,contracts!$A$2:$L$100,2,0)</f>
        <v>301003</v>
      </c>
      <c r="C132" s="11" t="str">
        <f>VLOOKUP($A132,contracts!$A$2:$L$100,3,0)</f>
        <v>MEA</v>
      </c>
      <c r="D132" s="11" t="str">
        <f>VLOOKUP($A132,contracts!$A$2:$L$100,4,0)</f>
        <v>Egypt</v>
      </c>
      <c r="E132" s="11" t="str" cm="1">
        <f t="array" ref="E132">_xlfn.IFS(ISBLANK(F132), "", OR(F132="Jan", F132="Feb", F132="Mar"), "Q1", OR(F132="April", F132="May", F132="June"), "Q2", OR(F132="July", F132="August", F132="September"), "Q3", OR(F132="October", F132="November", F132="December"), "Q4", TRUE, "")</f>
        <v>Q3</v>
      </c>
      <c r="F132" s="11" t="s">
        <v>113</v>
      </c>
      <c r="G132" s="11" t="s">
        <v>94</v>
      </c>
      <c r="H132" s="11" t="s">
        <v>70</v>
      </c>
      <c r="I132" s="11"/>
    </row>
    <row r="133" spans="1:9" ht="18" customHeight="1">
      <c r="A133" s="11" t="s">
        <v>105</v>
      </c>
      <c r="B133" s="11">
        <f>VLOOKUP($A133,contracts!$A$2:$L$100,2,0)</f>
        <v>301003</v>
      </c>
      <c r="C133" s="11" t="str">
        <f>VLOOKUP($A133,contracts!$A$2:$L$100,3,0)</f>
        <v>MEA</v>
      </c>
      <c r="D133" s="11" t="str">
        <f>VLOOKUP($A133,contracts!$A$2:$L$100,4,0)</f>
        <v>Egypt</v>
      </c>
      <c r="E133" s="11" t="str" cm="1">
        <f t="array" ref="E133">_xlfn.IFS(ISBLANK(F133), "", OR(F133="Jan", F133="Feb", F133="Mar"), "Q1", OR(F133="April", F133="May", F133="June"), "Q2", OR(F133="July", F133="August", F133="September"), "Q3", OR(F133="October", F133="November", F133="December"), "Q4", TRUE, "")</f>
        <v>Q3</v>
      </c>
      <c r="F133" s="11" t="s">
        <v>113</v>
      </c>
      <c r="G133" s="11" t="s">
        <v>95</v>
      </c>
      <c r="H133" s="11" t="s">
        <v>90</v>
      </c>
      <c r="I133" s="11"/>
    </row>
    <row r="134" spans="1:9" ht="18" customHeight="1">
      <c r="A134" s="20" t="s">
        <v>120</v>
      </c>
      <c r="B134" s="20" t="e">
        <f>VLOOKUP($A134,contracts!$A$2:$L$100,2,0)</f>
        <v>#N/A</v>
      </c>
      <c r="C134" s="20" t="e">
        <f>VLOOKUP($A134,contracts!$A$2:$L$100,3,0)</f>
        <v>#N/A</v>
      </c>
      <c r="D134" s="20" t="e">
        <f>VLOOKUP($A134,contracts!$A$2:$L$100,4,0)</f>
        <v>#N/A</v>
      </c>
      <c r="E134" s="20" t="str" cm="1">
        <f t="array" ref="E134">_xlfn.IFS(ISBLANK(F134), "", OR(F134="Jan", F134="Feb", F134="Mar"), "Q1", OR(F134="April", F134="May", F134="June"), "Q2", OR(F134="July", F134="August", F134="September"), "Q3", OR(F134="October", F134="November", F134="December"), "Q4", TRUE, "")</f>
        <v>Q3</v>
      </c>
      <c r="F134" s="20" t="s">
        <v>115</v>
      </c>
      <c r="G134" s="20" t="s">
        <v>106</v>
      </c>
      <c r="H134" s="20" t="s">
        <v>99</v>
      </c>
      <c r="I134" s="20"/>
    </row>
    <row r="135" spans="1:9" ht="18" customHeight="1">
      <c r="A135" s="20" t="s">
        <v>122</v>
      </c>
      <c r="B135" s="20" t="e">
        <f>VLOOKUP($A135,contracts!$A$2:$L$100,2,0)</f>
        <v>#N/A</v>
      </c>
      <c r="C135" s="20" t="e">
        <f>VLOOKUP($A135,contracts!$A$2:$L$100,3,0)</f>
        <v>#N/A</v>
      </c>
      <c r="D135" s="20" t="e">
        <f>VLOOKUP($A135,contracts!$A$2:$L$100,4,0)</f>
        <v>#N/A</v>
      </c>
      <c r="E135" s="20" t="str" cm="1">
        <f t="array" ref="E135">_xlfn.IFS(ISBLANK(F135), "", OR(F135="Jan", F135="Feb", F135="Mar"), "Q1", OR(F135="April", F135="May", F135="June"), "Q2", OR(F135="July", F135="August", F135="September"), "Q3", OR(F135="October", F135="November", F135="December"), "Q4", TRUE, "")</f>
        <v>Q4</v>
      </c>
      <c r="F135" s="20" t="s">
        <v>121</v>
      </c>
      <c r="G135" s="20" t="s">
        <v>94</v>
      </c>
      <c r="H135" s="20" t="s">
        <v>99</v>
      </c>
      <c r="I135" s="20"/>
    </row>
    <row r="136" spans="1:9" ht="18" customHeight="1">
      <c r="A136" s="20" t="s">
        <v>123</v>
      </c>
      <c r="B136" s="20" t="e">
        <f>VLOOKUP($A136,contracts!$A$2:$L$100,2,0)</f>
        <v>#N/A</v>
      </c>
      <c r="C136" s="20" t="e">
        <f>VLOOKUP($A136,contracts!$A$2:$L$100,3,0)</f>
        <v>#N/A</v>
      </c>
      <c r="D136" s="20" t="e">
        <f>VLOOKUP($A136,contracts!$A$2:$L$100,4,0)</f>
        <v>#N/A</v>
      </c>
      <c r="E136" s="20" t="str" cm="1">
        <f t="array" ref="E136">_xlfn.IFS(ISBLANK(F136), "", OR(F136="Jan", F136="Feb", F136="Mar"), "Q1", OR(F136="April", F136="May", F136="June"), "Q2", OR(F136="July", F136="August", F136="September"), "Q3", OR(F136="October", F136="November", F136="December"), "Q4", TRUE, "")</f>
        <v>Q4</v>
      </c>
      <c r="F136" s="20" t="s">
        <v>121</v>
      </c>
      <c r="G136" s="20" t="s">
        <v>95</v>
      </c>
      <c r="H136" s="20" t="s">
        <v>99</v>
      </c>
      <c r="I136" s="20"/>
    </row>
    <row r="137" spans="1:9" ht="18" customHeight="1">
      <c r="A137" s="20" t="s">
        <v>124</v>
      </c>
      <c r="B137" s="20" t="e">
        <f>VLOOKUP($A137,contracts!$A$2:$L$100,2,0)</f>
        <v>#N/A</v>
      </c>
      <c r="C137" s="20" t="e">
        <f>VLOOKUP($A137,contracts!$A$2:$L$100,3,0)</f>
        <v>#N/A</v>
      </c>
      <c r="D137" s="20" t="e">
        <f>VLOOKUP($A137,contracts!$A$2:$L$100,4,0)</f>
        <v>#N/A</v>
      </c>
      <c r="E137" s="20" t="str" cm="1">
        <f t="array" ref="E137">_xlfn.IFS(ISBLANK(F137), "", OR(F137="Jan", F137="Feb", F137="Mar"), "Q1", OR(F137="April", F137="May", F137="June"), "Q2", OR(F137="July", F137="August", F137="September"), "Q3", OR(F137="October", F137="November", F137="December"), "Q4", TRUE, "")</f>
        <v>Q4</v>
      </c>
      <c r="F137" s="20" t="s">
        <v>121</v>
      </c>
      <c r="G137" s="20" t="s">
        <v>95</v>
      </c>
      <c r="H137" s="20" t="s">
        <v>99</v>
      </c>
      <c r="I137" s="20"/>
    </row>
    <row r="138" spans="1:9" ht="18" customHeight="1">
      <c r="A138" s="21" t="s">
        <v>122</v>
      </c>
      <c r="B138" s="21" t="e">
        <f>VLOOKUP($A138,contracts!$A$2:$L$100,2,0)</f>
        <v>#N/A</v>
      </c>
      <c r="C138" s="21" t="e">
        <f>VLOOKUP($A138,contracts!$A$2:$L$100,3,0)</f>
        <v>#N/A</v>
      </c>
      <c r="D138" s="21" t="e">
        <f>VLOOKUP($A138,contracts!$A$2:$L$100,4,0)</f>
        <v>#N/A</v>
      </c>
      <c r="E138" s="21" t="str" cm="1">
        <f t="array" ref="E138">_xlfn.IFS(ISBLANK(F138), "", OR(F138="Jan", F138="Feb", F138="Mar"), "Q1", OR(F138="April", F138="May", F138="June"), "Q2", OR(F138="July", F138="August", F138="September"), "Q3", OR(F138="October", F138="November", F138="December"), "Q4", TRUE, "")</f>
        <v>Q4</v>
      </c>
      <c r="F138" s="21" t="s">
        <v>126</v>
      </c>
      <c r="G138" s="21" t="s">
        <v>106</v>
      </c>
      <c r="H138" s="21" t="s">
        <v>102</v>
      </c>
      <c r="I138" s="21"/>
    </row>
  </sheetData>
  <autoFilter ref="A1:I138" xr:uid="{D4E5CBA7-34AC-46BF-A052-3EC3617E0E81}">
    <sortState xmlns:xlrd2="http://schemas.microsoft.com/office/spreadsheetml/2017/richdata2" ref="A2:I138">
      <sortCondition ref="B1:B138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contracts</vt:lpstr>
      <vt:lpstr>targets</vt:lpstr>
      <vt:lpstr>plans</vt:lpstr>
      <vt:lpstr>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CEO DWG</cp:lastModifiedBy>
  <dcterms:created xsi:type="dcterms:W3CDTF">2025-11-07T06:14:35Z</dcterms:created>
  <dcterms:modified xsi:type="dcterms:W3CDTF">2025-11-17T06:40:56Z</dcterms:modified>
</cp:coreProperties>
</file>